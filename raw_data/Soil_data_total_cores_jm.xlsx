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14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jessiemotes/Desktop/Pluck/"/>
    </mc:Choice>
  </mc:AlternateContent>
  <xr:revisionPtr revIDLastSave="0" documentId="13_ncr:1_{9E2F48D9-2322-8846-934F-5E9A2BFDB3D0}" xr6:coauthVersionLast="47" xr6:coauthVersionMax="47" xr10:uidLastSave="{00000000-0000-0000-0000-000000000000}"/>
  <bookViews>
    <workbookView xWindow="0" yWindow="740" windowWidth="30240" windowHeight="18900" xr2:uid="{72D2D537-7AD2-4E44-8C7F-908269E7D6D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67" i="1" l="1"/>
  <c r="E67" i="1"/>
  <c r="I66" i="1"/>
  <c r="E66" i="1"/>
  <c r="I52" i="1"/>
  <c r="E52" i="1"/>
  <c r="I51" i="1"/>
  <c r="E51" i="1"/>
  <c r="I43" i="1"/>
  <c r="E43" i="1"/>
  <c r="I42" i="1"/>
  <c r="E42" i="1"/>
  <c r="I37" i="1"/>
  <c r="E37" i="1"/>
  <c r="I36" i="1"/>
  <c r="E36" i="1"/>
  <c r="E10" i="1"/>
  <c r="I9" i="1"/>
  <c r="E9" i="1"/>
  <c r="I84" i="1"/>
  <c r="I83" i="1"/>
  <c r="I82" i="1"/>
  <c r="I81" i="1"/>
  <c r="I79" i="1"/>
  <c r="I78" i="1"/>
  <c r="I77" i="1"/>
  <c r="I76" i="1"/>
  <c r="I75" i="1"/>
  <c r="I74" i="1"/>
  <c r="I73" i="1"/>
  <c r="I72" i="1"/>
  <c r="I71" i="1"/>
  <c r="I70" i="1"/>
  <c r="I69" i="1"/>
  <c r="I68" i="1"/>
  <c r="I65" i="1"/>
  <c r="I64" i="1"/>
  <c r="I63" i="1"/>
  <c r="I62" i="1"/>
  <c r="I61" i="1"/>
  <c r="I60" i="1"/>
  <c r="I59" i="1"/>
  <c r="I58" i="1"/>
  <c r="I56" i="1"/>
  <c r="I55" i="1"/>
  <c r="I54" i="1"/>
  <c r="I53" i="1"/>
  <c r="I50" i="1"/>
  <c r="I49" i="1"/>
  <c r="I48" i="1"/>
  <c r="I47" i="1"/>
  <c r="I46" i="1"/>
  <c r="I45" i="1"/>
  <c r="I44" i="1"/>
  <c r="I41" i="1"/>
  <c r="I40" i="1"/>
  <c r="I39" i="1"/>
  <c r="I38" i="1"/>
  <c r="I35" i="1"/>
  <c r="I33" i="1"/>
  <c r="I32" i="1"/>
  <c r="I31" i="1"/>
  <c r="I30" i="1"/>
  <c r="I29" i="1"/>
  <c r="I28" i="1"/>
  <c r="I27" i="1"/>
  <c r="I25" i="1"/>
  <c r="I24" i="1"/>
  <c r="I23" i="1"/>
  <c r="I22" i="1"/>
  <c r="I21" i="1"/>
  <c r="I18" i="1"/>
  <c r="I17" i="1"/>
  <c r="I16" i="1"/>
  <c r="I15" i="1"/>
  <c r="I13" i="1"/>
  <c r="I12" i="1"/>
  <c r="I11" i="1"/>
  <c r="I8" i="1"/>
  <c r="I7" i="1"/>
  <c r="I6" i="1"/>
  <c r="I5" i="1"/>
  <c r="I4" i="1"/>
  <c r="I3" i="1"/>
  <c r="I2" i="1"/>
  <c r="I20" i="1"/>
  <c r="E18" i="1"/>
  <c r="E20" i="1"/>
  <c r="E21" i="1"/>
  <c r="E22" i="1"/>
  <c r="E23" i="1"/>
  <c r="E24" i="1"/>
  <c r="E25" i="1"/>
  <c r="E27" i="1"/>
  <c r="E28" i="1"/>
  <c r="E29" i="1"/>
  <c r="E30" i="1"/>
  <c r="E31" i="1"/>
  <c r="E32" i="1"/>
  <c r="E33" i="1"/>
  <c r="E35" i="1"/>
  <c r="E38" i="1"/>
  <c r="E39" i="1"/>
  <c r="E40" i="1"/>
  <c r="E41" i="1"/>
  <c r="E44" i="1"/>
  <c r="E45" i="1"/>
  <c r="E46" i="1"/>
  <c r="E47" i="1"/>
  <c r="E48" i="1"/>
  <c r="E49" i="1"/>
  <c r="E50" i="1"/>
  <c r="E53" i="1"/>
  <c r="E54" i="1"/>
  <c r="E55" i="1"/>
  <c r="E56" i="1"/>
  <c r="E58" i="1"/>
  <c r="E59" i="1"/>
  <c r="E60" i="1"/>
  <c r="E61" i="1"/>
  <c r="E62" i="1"/>
  <c r="E63" i="1"/>
  <c r="E64" i="1"/>
  <c r="E65" i="1"/>
  <c r="E68" i="1"/>
  <c r="E69" i="1"/>
  <c r="E70" i="1"/>
  <c r="E71" i="1"/>
  <c r="E72" i="1"/>
  <c r="E73" i="1"/>
  <c r="E74" i="1"/>
  <c r="E75" i="1"/>
  <c r="E76" i="1"/>
  <c r="E77" i="1"/>
  <c r="E78" i="1"/>
  <c r="E79" i="1"/>
  <c r="E81" i="1"/>
  <c r="E82" i="1"/>
  <c r="E83" i="1"/>
  <c r="E84" i="1"/>
  <c r="E17" i="1"/>
  <c r="E16" i="1"/>
  <c r="E15" i="1"/>
  <c r="E13" i="1"/>
  <c r="E12" i="1"/>
  <c r="E11" i="1"/>
  <c r="E6" i="1"/>
  <c r="E7" i="1"/>
  <c r="E8" i="1"/>
  <c r="E2" i="1"/>
  <c r="E3" i="1"/>
  <c r="E4" i="1"/>
  <c r="E5" i="1"/>
</calcChain>
</file>

<file path=xl/sharedStrings.xml><?xml version="1.0" encoding="utf-8"?>
<sst xmlns="http://schemas.openxmlformats.org/spreadsheetml/2006/main" count="333" uniqueCount="70">
  <si>
    <t>Block</t>
  </si>
  <si>
    <t>Treatment</t>
  </si>
  <si>
    <t>Quad</t>
  </si>
  <si>
    <t>Date_collected</t>
  </si>
  <si>
    <t>Date_sorted</t>
  </si>
  <si>
    <t>Core_surface_area_cm2</t>
  </si>
  <si>
    <t>CT</t>
  </si>
  <si>
    <t>F0.5</t>
  </si>
  <si>
    <t>F1</t>
  </si>
  <si>
    <t>F2</t>
  </si>
  <si>
    <t>F5</t>
  </si>
  <si>
    <t>F10</t>
  </si>
  <si>
    <t>NA</t>
  </si>
  <si>
    <t>T</t>
  </si>
  <si>
    <t>Soil_notes</t>
  </si>
  <si>
    <t>Mineral is 4 cm from permafrost</t>
  </si>
  <si>
    <t>No mineral sample. Approximately 2 cm from permafrost</t>
  </si>
  <si>
    <t>Subtracted 6.5 cm from the listed 28 cm depth of mineral</t>
  </si>
  <si>
    <t>Subtracted 4 cm from total depth (already did in printed sheet)</t>
  </si>
  <si>
    <t>Total depth to permafrost: 61 cm</t>
  </si>
  <si>
    <t>Total depth to permafrost: 71 cm</t>
  </si>
  <si>
    <t>Subtracted 2.5 cm from total mineral depth of 24 cm</t>
  </si>
  <si>
    <t>Subtracted 2.5 cm from total depth of 15 cm; all mineral is permafrost</t>
  </si>
  <si>
    <t>Depth to permafrost: 56 cm</t>
  </si>
  <si>
    <t>Depth to permafrost: 46</t>
  </si>
  <si>
    <t>Depth to permafrost: 24 cm; only organic and permafrost</t>
  </si>
  <si>
    <t>Depth to permafrost: 28 cm</t>
  </si>
  <si>
    <t>Depth to permafrost: 28.5 cm</t>
  </si>
  <si>
    <t>Depth to permafrost: 39.5 cm</t>
  </si>
  <si>
    <t>Depth to permafrost: 24.5 cm</t>
  </si>
  <si>
    <t>Depth to permafrost: 36 cm</t>
  </si>
  <si>
    <t>Depth to permafrost: 21 cm</t>
  </si>
  <si>
    <t>Depth to permafrost: 20.5 cm</t>
  </si>
  <si>
    <t>Depth to permafrost: 30.5 cm</t>
  </si>
  <si>
    <t>Depth to permafrost: 35 cm</t>
  </si>
  <si>
    <t>Ice_depth_accidentally_cored_cm</t>
  </si>
  <si>
    <t>Depth to permafrost: 52 cm</t>
  </si>
  <si>
    <t>Depth_of_core_to_permafrost_cm</t>
  </si>
  <si>
    <t>Two samples were accidentally labeled B1 F0.5 Q4 T; one is B3 F0.5 Q4 T, but we don't know which is which</t>
  </si>
  <si>
    <t>Depth_from_mineral_to_permafrost_cm</t>
  </si>
  <si>
    <t>Organic_core_depth_cm</t>
  </si>
  <si>
    <t>Mineral_core_depth_cm</t>
  </si>
  <si>
    <t>Sample_Type</t>
  </si>
  <si>
    <t>Total_core</t>
  </si>
  <si>
    <t>Dry_mass_aboveground_g</t>
  </si>
  <si>
    <t>Dry_mass_organic_horizon_g</t>
  </si>
  <si>
    <t>Dry_mass_mineral_horizon_g</t>
  </si>
  <si>
    <t>4_defunct</t>
  </si>
  <si>
    <t>2A</t>
  </si>
  <si>
    <t>Depth to permafrost: 31; This core had a lot of sludge so we took another core on 8/1/2024</t>
  </si>
  <si>
    <t>2B</t>
  </si>
  <si>
    <t>This was the redo of 2A</t>
  </si>
  <si>
    <t>3A</t>
  </si>
  <si>
    <t>3B</t>
  </si>
  <si>
    <t>Depth to permafrost: 34 cm; to sludge: 16 cm; This core had a lot of sludge so we took another core on 8/1/2024</t>
  </si>
  <si>
    <t>This was a redo of 3A</t>
  </si>
  <si>
    <t>Two samples were accidentally labeled B1 F0.5 Q4 T; one is B3 F0.5 Q4 T, but we didn't know which is which - the bags were also not labeled</t>
  </si>
  <si>
    <t>Depth to permafrost: 38 cm; This core had a lot of sludge so we took another core on 8/1/2024 - M bag not labeled</t>
  </si>
  <si>
    <t>4A?</t>
  </si>
  <si>
    <t>4B?</t>
  </si>
  <si>
    <t>Bonus mineral in O sample (O+M?): 131.439</t>
  </si>
  <si>
    <t>Absolute nonsense amount of cores separated as best we could</t>
  </si>
  <si>
    <t>Second O bag is labelled B</t>
  </si>
  <si>
    <t>Depth to permafrost: 32 cm, Sample says O but is M 43.756g</t>
  </si>
  <si>
    <t>No A/B label just an extra mystery M</t>
  </si>
  <si>
    <t>1A</t>
  </si>
  <si>
    <t>1B</t>
  </si>
  <si>
    <t>4A</t>
  </si>
  <si>
    <t>4B</t>
  </si>
  <si>
    <t>This was the redo of 3A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</si>
</sst>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4" fontId="0" fillId="0" borderId="0" xfId="0" applyNumberFormat="1"/>
    <xf numFmtId="0" fontId="0" fillId="0" borderId="0" xfId="0" applyAlignment="1">
      <alignment horizontal="center"/>
    </xf>
    <xf numFmtId="14" fontId="0" fillId="0" borderId="0" xfId="0" applyNumberFormat="1" applyAlignment="1">
      <alignment horizontal="center"/>
    </xf>
    <xf numFmtId="164" fontId="0" fillId="0" borderId="0" xfId="0" applyNumberForma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AAC312-FC4B-9243-B034-B0BC6295EC77}">
  <dimension ref="A1:R84"/>
  <sheetViews>
    <sheetView tabSelected="1" zoomScale="150" zoomScaleNormal="150" workbookViewId="0">
      <pane ySplit="1" topLeftCell="A2" activePane="bottomLeft" state="frozen"/>
      <selection pane="bottomLeft" activeCell="F7" sqref="F7"/>
    </sheetView>
  </sheetViews>
  <sheetFormatPr baseColWidth="10" defaultRowHeight="16" x14ac:dyDescent="0.2"/>
  <cols>
    <col min="1" max="1" width="5.5" style="2" bestFit="1" customWidth="1"/>
    <col min="2" max="2" width="9.83203125" style="2" bestFit="1" customWidth="1"/>
    <col min="3" max="3" width="9.33203125" style="2" bestFit="1" customWidth="1"/>
    <col min="4" max="4" width="12.1640625" style="2" customWidth="1"/>
    <col min="5" max="5" width="7.5" style="2" customWidth="1"/>
    <col min="6" max="7" width="21.5" style="2" bestFit="1" customWidth="1"/>
    <col min="8" max="8" width="35.33203125" style="2" customWidth="1"/>
    <col min="9" max="9" width="27.83203125" style="2" customWidth="1"/>
    <col min="10" max="10" width="9" style="2" customWidth="1"/>
    <col min="11" max="11" width="12.83203125" style="2" customWidth="1"/>
    <col min="12" max="12" width="10.83203125" style="2" customWidth="1"/>
    <col min="13" max="13" width="23" style="4" customWidth="1"/>
    <col min="14" max="14" width="25.5" style="4" bestFit="1" customWidth="1"/>
    <col min="15" max="15" width="25.83203125" style="4" bestFit="1" customWidth="1"/>
  </cols>
  <sheetData>
    <row r="1" spans="1:18" x14ac:dyDescent="0.2">
      <c r="A1" s="2" t="s">
        <v>0</v>
      </c>
      <c r="B1" s="2" t="s">
        <v>1</v>
      </c>
      <c r="C1" s="2" t="s">
        <v>2</v>
      </c>
      <c r="D1" s="2" t="s">
        <v>42</v>
      </c>
      <c r="E1" s="2" t="s">
        <v>5</v>
      </c>
      <c r="F1" s="2" t="s">
        <v>40</v>
      </c>
      <c r="G1" s="2" t="s">
        <v>41</v>
      </c>
      <c r="H1" s="2" t="s">
        <v>39</v>
      </c>
      <c r="I1" s="2" t="s">
        <v>37</v>
      </c>
      <c r="J1" s="2" t="s">
        <v>35</v>
      </c>
      <c r="K1" s="2" t="s">
        <v>3</v>
      </c>
      <c r="L1" s="2" t="s">
        <v>4</v>
      </c>
      <c r="M1" s="4" t="s">
        <v>44</v>
      </c>
      <c r="N1" s="4" t="s">
        <v>45</v>
      </c>
      <c r="O1" s="4" t="s">
        <v>46</v>
      </c>
      <c r="P1" t="s">
        <v>14</v>
      </c>
    </row>
    <row r="2" spans="1:18" x14ac:dyDescent="0.2">
      <c r="A2" s="2">
        <v>1</v>
      </c>
      <c r="B2" s="2" t="s">
        <v>6</v>
      </c>
      <c r="C2" s="2">
        <v>1</v>
      </c>
      <c r="D2" s="2" t="s">
        <v>43</v>
      </c>
      <c r="E2" s="2">
        <f>PI()*(5.3/2)^2</f>
        <v>22.061834409834322</v>
      </c>
      <c r="F2" s="2">
        <v>1</v>
      </c>
      <c r="G2" s="2">
        <v>48</v>
      </c>
      <c r="H2" s="2">
        <v>0</v>
      </c>
      <c r="I2" s="2">
        <f t="shared" ref="I2:I30" si="0">SUM(F2:H2)</f>
        <v>49</v>
      </c>
      <c r="J2" s="2" t="s">
        <v>12</v>
      </c>
      <c r="K2" s="3">
        <v>45503</v>
      </c>
      <c r="L2" s="3">
        <v>45504</v>
      </c>
      <c r="M2" s="4">
        <v>0.28499999999999998</v>
      </c>
      <c r="N2" s="4" t="s">
        <v>12</v>
      </c>
      <c r="O2" s="4">
        <v>1093.7909999999999</v>
      </c>
    </row>
    <row r="3" spans="1:18" x14ac:dyDescent="0.2">
      <c r="A3" s="2">
        <v>1</v>
      </c>
      <c r="B3" s="2" t="s">
        <v>6</v>
      </c>
      <c r="C3" s="2">
        <v>2</v>
      </c>
      <c r="D3" s="2" t="s">
        <v>43</v>
      </c>
      <c r="E3" s="2">
        <f>PI()*(5.3/2)^2</f>
        <v>22.061834409834322</v>
      </c>
      <c r="F3" s="2">
        <v>12</v>
      </c>
      <c r="G3" s="2">
        <v>24</v>
      </c>
      <c r="H3" s="2">
        <v>0</v>
      </c>
      <c r="I3" s="2">
        <f t="shared" si="0"/>
        <v>36</v>
      </c>
      <c r="J3" s="2" t="s">
        <v>12</v>
      </c>
      <c r="K3" s="3">
        <v>45503</v>
      </c>
      <c r="L3" s="3">
        <v>45504</v>
      </c>
      <c r="M3" s="4">
        <v>0.30099999999999999</v>
      </c>
      <c r="N3" s="4">
        <v>14.411</v>
      </c>
      <c r="O3" s="4">
        <v>623.66600000000005</v>
      </c>
    </row>
    <row r="4" spans="1:18" x14ac:dyDescent="0.2">
      <c r="A4" s="2">
        <v>1</v>
      </c>
      <c r="B4" s="2" t="s">
        <v>6</v>
      </c>
      <c r="C4" s="2">
        <v>3</v>
      </c>
      <c r="D4" s="2" t="s">
        <v>43</v>
      </c>
      <c r="E4" s="2">
        <f>PI()*(5.3/2)^2</f>
        <v>22.061834409834322</v>
      </c>
      <c r="F4" s="2">
        <v>10</v>
      </c>
      <c r="G4" s="2">
        <v>17</v>
      </c>
      <c r="H4" s="2">
        <v>0</v>
      </c>
      <c r="I4" s="2">
        <f t="shared" si="0"/>
        <v>27</v>
      </c>
      <c r="J4" s="2" t="s">
        <v>12</v>
      </c>
      <c r="K4" s="3">
        <v>45503</v>
      </c>
      <c r="L4" s="3">
        <v>45504</v>
      </c>
      <c r="M4" s="4">
        <v>0.50800000000000001</v>
      </c>
      <c r="N4" s="4">
        <v>9.1340000000000003</v>
      </c>
      <c r="O4" s="4">
        <v>187.56899999999999</v>
      </c>
    </row>
    <row r="5" spans="1:18" x14ac:dyDescent="0.2">
      <c r="A5" s="2">
        <v>1</v>
      </c>
      <c r="B5" s="2" t="s">
        <v>6</v>
      </c>
      <c r="C5" s="2">
        <v>4</v>
      </c>
      <c r="D5" s="2" t="s">
        <v>43</v>
      </c>
      <c r="E5" s="2">
        <f>PI()*(5.3/2)^2</f>
        <v>22.061834409834322</v>
      </c>
      <c r="F5" s="2">
        <v>21</v>
      </c>
      <c r="G5" s="2">
        <v>17</v>
      </c>
      <c r="H5" s="2">
        <v>0</v>
      </c>
      <c r="I5" s="2">
        <f t="shared" si="0"/>
        <v>38</v>
      </c>
      <c r="J5" s="2" t="s">
        <v>12</v>
      </c>
      <c r="K5" s="3">
        <v>45503</v>
      </c>
      <c r="L5" s="3">
        <v>45504</v>
      </c>
      <c r="M5" s="4">
        <v>0.53</v>
      </c>
      <c r="N5" s="4">
        <v>11.1</v>
      </c>
    </row>
    <row r="6" spans="1:18" x14ac:dyDescent="0.2">
      <c r="A6" s="2">
        <v>1</v>
      </c>
      <c r="B6" s="2" t="s">
        <v>7</v>
      </c>
      <c r="C6" s="2">
        <v>1</v>
      </c>
      <c r="D6" s="2" t="s">
        <v>43</v>
      </c>
      <c r="E6" s="2">
        <f t="shared" ref="E6:E13" si="1">PI()*(4.6/2)^2</f>
        <v>16.619025137490002</v>
      </c>
      <c r="F6" s="2">
        <v>7</v>
      </c>
      <c r="G6" s="2">
        <v>37</v>
      </c>
      <c r="H6" s="2">
        <v>4</v>
      </c>
      <c r="I6" s="2">
        <f t="shared" si="0"/>
        <v>48</v>
      </c>
      <c r="J6" s="2" t="s">
        <v>12</v>
      </c>
      <c r="K6" s="3">
        <v>45503</v>
      </c>
      <c r="L6" s="3">
        <v>45504</v>
      </c>
      <c r="M6" s="4">
        <v>0.96699999999999997</v>
      </c>
      <c r="N6" s="4">
        <v>14.801</v>
      </c>
      <c r="O6" s="4">
        <v>360.87700000000001</v>
      </c>
      <c r="P6" t="s">
        <v>15</v>
      </c>
    </row>
    <row r="7" spans="1:18" x14ac:dyDescent="0.2">
      <c r="A7" s="2">
        <v>1</v>
      </c>
      <c r="B7" s="2" t="s">
        <v>7</v>
      </c>
      <c r="C7" s="2">
        <v>2</v>
      </c>
      <c r="D7" s="2" t="s">
        <v>43</v>
      </c>
      <c r="E7" s="2">
        <f t="shared" si="1"/>
        <v>16.619025137490002</v>
      </c>
      <c r="F7" s="2">
        <v>5</v>
      </c>
      <c r="G7" s="2">
        <v>23</v>
      </c>
      <c r="H7" s="2">
        <v>0</v>
      </c>
      <c r="I7" s="2">
        <f t="shared" si="0"/>
        <v>28</v>
      </c>
      <c r="J7" s="2" t="s">
        <v>12</v>
      </c>
      <c r="K7" s="3">
        <v>45503</v>
      </c>
      <c r="L7" s="3">
        <v>45504</v>
      </c>
      <c r="M7" s="4">
        <v>0.93400000000000005</v>
      </c>
      <c r="N7" s="4">
        <v>8.1340000000000003</v>
      </c>
      <c r="O7" s="4">
        <v>235.79599999999999</v>
      </c>
    </row>
    <row r="8" spans="1:18" x14ac:dyDescent="0.2">
      <c r="A8" s="2">
        <v>1</v>
      </c>
      <c r="B8" s="2" t="s">
        <v>7</v>
      </c>
      <c r="C8" s="2">
        <v>3</v>
      </c>
      <c r="D8" s="2" t="s">
        <v>43</v>
      </c>
      <c r="E8" s="2">
        <f t="shared" si="1"/>
        <v>16.619025137490002</v>
      </c>
      <c r="F8" s="2">
        <v>7</v>
      </c>
      <c r="G8" s="2">
        <v>37</v>
      </c>
      <c r="H8" s="2">
        <v>0</v>
      </c>
      <c r="I8" s="2">
        <f t="shared" si="0"/>
        <v>44</v>
      </c>
      <c r="J8" s="2" t="s">
        <v>12</v>
      </c>
      <c r="K8" s="3">
        <v>45503</v>
      </c>
      <c r="L8" s="3">
        <v>45504</v>
      </c>
      <c r="M8" s="4">
        <v>0.222</v>
      </c>
      <c r="N8" s="4">
        <v>12.25</v>
      </c>
      <c r="O8" s="4">
        <v>14.454000000000001</v>
      </c>
    </row>
    <row r="9" spans="1:18" x14ac:dyDescent="0.2">
      <c r="A9" s="2">
        <v>1</v>
      </c>
      <c r="B9" s="2" t="s">
        <v>7</v>
      </c>
      <c r="C9" s="2" t="s">
        <v>47</v>
      </c>
      <c r="D9" s="2" t="s">
        <v>43</v>
      </c>
      <c r="E9" s="2">
        <f>PI()*(4.6/2)^2</f>
        <v>16.619025137490002</v>
      </c>
      <c r="F9" s="2">
        <v>7</v>
      </c>
      <c r="G9" s="2">
        <v>46</v>
      </c>
      <c r="H9" s="2">
        <v>0</v>
      </c>
      <c r="I9" s="2">
        <f>SUM(F9:H9)</f>
        <v>53</v>
      </c>
      <c r="J9" s="2" t="s">
        <v>12</v>
      </c>
      <c r="K9" s="3">
        <v>45503</v>
      </c>
      <c r="L9" s="3">
        <v>45504</v>
      </c>
      <c r="M9" s="4">
        <v>1.264</v>
      </c>
      <c r="N9" s="4">
        <v>13.009</v>
      </c>
      <c r="O9" s="4">
        <v>223.74700000000001</v>
      </c>
      <c r="P9" t="s">
        <v>56</v>
      </c>
      <c r="Q9" s="1"/>
      <c r="R9" s="1"/>
    </row>
    <row r="10" spans="1:18" x14ac:dyDescent="0.2">
      <c r="A10" s="2">
        <v>1</v>
      </c>
      <c r="B10" s="2" t="s">
        <v>7</v>
      </c>
      <c r="C10" s="2">
        <v>4</v>
      </c>
      <c r="D10" s="2" t="s">
        <v>43</v>
      </c>
      <c r="E10" s="2">
        <f>PI()*(4.6/2)^2</f>
        <v>16.619025137490002</v>
      </c>
      <c r="F10" s="2">
        <v>9</v>
      </c>
      <c r="G10" s="2">
        <v>20</v>
      </c>
      <c r="H10" s="2">
        <v>29</v>
      </c>
      <c r="I10" s="2">
        <v>58</v>
      </c>
      <c r="J10" s="2" t="s">
        <v>12</v>
      </c>
      <c r="K10" s="3">
        <v>45505</v>
      </c>
      <c r="L10" s="3">
        <v>45505</v>
      </c>
      <c r="M10" s="4">
        <v>0.43099999999999999</v>
      </c>
      <c r="N10" s="4">
        <v>7.8920000000000003</v>
      </c>
      <c r="O10" s="4">
        <v>497.09899999999999</v>
      </c>
      <c r="P10" s="1"/>
      <c r="Q10" s="1"/>
      <c r="R10" s="1"/>
    </row>
    <row r="11" spans="1:18" x14ac:dyDescent="0.2">
      <c r="A11" s="2">
        <v>1</v>
      </c>
      <c r="B11" s="2" t="s">
        <v>8</v>
      </c>
      <c r="C11" s="2">
        <v>1</v>
      </c>
      <c r="D11" s="2" t="s">
        <v>43</v>
      </c>
      <c r="E11" s="2">
        <f t="shared" si="1"/>
        <v>16.619025137490002</v>
      </c>
      <c r="F11" s="2">
        <v>16.5</v>
      </c>
      <c r="G11" s="2" t="s">
        <v>12</v>
      </c>
      <c r="H11" s="2">
        <v>2</v>
      </c>
      <c r="I11" s="2">
        <f t="shared" si="0"/>
        <v>18.5</v>
      </c>
      <c r="J11" s="2" t="s">
        <v>12</v>
      </c>
      <c r="K11" s="3">
        <v>45503</v>
      </c>
      <c r="L11" s="3">
        <v>45504</v>
      </c>
      <c r="M11" s="4">
        <v>7.0000000000000007E-2</v>
      </c>
      <c r="N11" s="4">
        <v>11.205</v>
      </c>
      <c r="O11" s="4" t="s">
        <v>12</v>
      </c>
      <c r="P11" t="s">
        <v>16</v>
      </c>
    </row>
    <row r="12" spans="1:18" x14ac:dyDescent="0.2">
      <c r="A12" s="2">
        <v>1</v>
      </c>
      <c r="B12" s="2" t="s">
        <v>8</v>
      </c>
      <c r="C12" s="2">
        <v>2</v>
      </c>
      <c r="D12" s="2" t="s">
        <v>43</v>
      </c>
      <c r="E12" s="2">
        <f t="shared" si="1"/>
        <v>16.619025137490002</v>
      </c>
      <c r="F12" s="2">
        <v>7</v>
      </c>
      <c r="G12" s="2">
        <v>33</v>
      </c>
      <c r="H12" s="2">
        <v>0</v>
      </c>
      <c r="I12" s="2">
        <f t="shared" si="0"/>
        <v>40</v>
      </c>
      <c r="J12" s="2" t="s">
        <v>12</v>
      </c>
      <c r="K12" s="3">
        <v>45503</v>
      </c>
      <c r="L12" s="3">
        <v>45504</v>
      </c>
      <c r="M12" s="4">
        <v>0.70599999999999996</v>
      </c>
      <c r="N12" s="4">
        <v>8.3580000000000005</v>
      </c>
      <c r="O12" s="4">
        <v>378.82</v>
      </c>
    </row>
    <row r="13" spans="1:18" x14ac:dyDescent="0.2">
      <c r="A13" s="2">
        <v>1</v>
      </c>
      <c r="B13" s="2" t="s">
        <v>8</v>
      </c>
      <c r="C13" s="2" t="s">
        <v>52</v>
      </c>
      <c r="D13" s="2" t="s">
        <v>43</v>
      </c>
      <c r="E13" s="2">
        <f t="shared" si="1"/>
        <v>16.619025137490002</v>
      </c>
      <c r="F13" s="2">
        <v>4.5</v>
      </c>
      <c r="G13" s="2">
        <v>20</v>
      </c>
      <c r="H13" s="2">
        <v>0</v>
      </c>
      <c r="I13" s="2">
        <f t="shared" si="0"/>
        <v>24.5</v>
      </c>
      <c r="J13" s="2" t="s">
        <v>12</v>
      </c>
      <c r="K13" s="3">
        <v>45503</v>
      </c>
      <c r="L13" s="3">
        <v>45504</v>
      </c>
      <c r="M13" s="4">
        <v>0.69199999999999995</v>
      </c>
      <c r="N13" s="4">
        <v>15.590999999999999</v>
      </c>
      <c r="O13" s="4">
        <v>267.55200000000002</v>
      </c>
    </row>
    <row r="14" spans="1:18" x14ac:dyDescent="0.2">
      <c r="A14" s="2">
        <v>1</v>
      </c>
      <c r="B14" s="2" t="s">
        <v>8</v>
      </c>
      <c r="C14" s="2" t="s">
        <v>53</v>
      </c>
      <c r="K14" s="3"/>
      <c r="L14" s="3"/>
      <c r="M14" s="4" t="s">
        <v>12</v>
      </c>
      <c r="N14" s="4">
        <v>15.468</v>
      </c>
      <c r="O14" s="4">
        <v>15.468</v>
      </c>
      <c r="P14" t="s">
        <v>62</v>
      </c>
    </row>
    <row r="15" spans="1:18" x14ac:dyDescent="0.2">
      <c r="A15" s="2">
        <v>1</v>
      </c>
      <c r="B15" s="2" t="s">
        <v>8</v>
      </c>
      <c r="C15" s="2">
        <v>4</v>
      </c>
      <c r="D15" s="2" t="s">
        <v>43</v>
      </c>
      <c r="E15" s="2">
        <f>PI()*(5.3/2)^2</f>
        <v>22.061834409834322</v>
      </c>
      <c r="F15" s="2">
        <v>5</v>
      </c>
      <c r="G15" s="2">
        <v>42</v>
      </c>
      <c r="H15" s="2">
        <v>0</v>
      </c>
      <c r="I15" s="2">
        <f t="shared" si="0"/>
        <v>47</v>
      </c>
      <c r="J15" s="2" t="s">
        <v>12</v>
      </c>
      <c r="K15" s="3">
        <v>45503</v>
      </c>
      <c r="L15" s="3">
        <v>45504</v>
      </c>
      <c r="M15" s="4">
        <v>0.45500000000000002</v>
      </c>
      <c r="N15" s="4">
        <v>14.461</v>
      </c>
      <c r="O15" s="4">
        <v>667.774</v>
      </c>
    </row>
    <row r="16" spans="1:18" x14ac:dyDescent="0.2">
      <c r="A16" s="2">
        <v>1</v>
      </c>
      <c r="B16" s="2" t="s">
        <v>9</v>
      </c>
      <c r="C16" s="2">
        <v>1</v>
      </c>
      <c r="D16" s="2" t="s">
        <v>43</v>
      </c>
      <c r="E16" s="2">
        <f>PI()*(5.3/2)^2</f>
        <v>22.061834409834322</v>
      </c>
      <c r="F16" s="2">
        <v>14</v>
      </c>
      <c r="G16" s="2">
        <v>27</v>
      </c>
      <c r="H16" s="2">
        <v>0</v>
      </c>
      <c r="I16" s="2">
        <f t="shared" si="0"/>
        <v>41</v>
      </c>
      <c r="J16" s="2" t="s">
        <v>12</v>
      </c>
      <c r="K16" s="3">
        <v>45503</v>
      </c>
      <c r="L16" s="3">
        <v>45504</v>
      </c>
      <c r="M16" s="4">
        <v>0.83899999999999997</v>
      </c>
      <c r="N16" s="4">
        <v>16.172999999999998</v>
      </c>
      <c r="O16" s="4">
        <v>246.149</v>
      </c>
    </row>
    <row r="17" spans="1:16" x14ac:dyDescent="0.2">
      <c r="A17" s="2">
        <v>1</v>
      </c>
      <c r="B17" s="2" t="s">
        <v>9</v>
      </c>
      <c r="C17" s="2">
        <v>2</v>
      </c>
      <c r="D17" s="2" t="s">
        <v>43</v>
      </c>
      <c r="E17" s="2">
        <f>PI()*(5.3/2)^2</f>
        <v>22.061834409834322</v>
      </c>
      <c r="F17" s="2">
        <v>18</v>
      </c>
      <c r="G17" s="2">
        <v>14</v>
      </c>
      <c r="H17" s="2">
        <v>0</v>
      </c>
      <c r="I17" s="2">
        <f t="shared" si="0"/>
        <v>32</v>
      </c>
      <c r="J17" s="2" t="s">
        <v>12</v>
      </c>
      <c r="K17" s="3">
        <v>45503</v>
      </c>
      <c r="L17" s="3">
        <v>45504</v>
      </c>
      <c r="M17" s="4">
        <v>0.251</v>
      </c>
      <c r="N17" s="4">
        <v>11.035</v>
      </c>
      <c r="O17" s="4">
        <v>66.468000000000004</v>
      </c>
    </row>
    <row r="18" spans="1:16" x14ac:dyDescent="0.2">
      <c r="A18" s="2">
        <v>1</v>
      </c>
      <c r="B18" s="2" t="s">
        <v>9</v>
      </c>
      <c r="C18" s="2" t="s">
        <v>52</v>
      </c>
      <c r="D18" s="2" t="s">
        <v>43</v>
      </c>
      <c r="E18" s="2">
        <f t="shared" ref="E18:E55" si="2">PI()*(4.6/2)^2</f>
        <v>16.619025137490002</v>
      </c>
      <c r="F18" s="2">
        <v>9</v>
      </c>
      <c r="G18" s="2">
        <v>26</v>
      </c>
      <c r="H18" s="2">
        <v>0</v>
      </c>
      <c r="I18" s="2">
        <f t="shared" si="0"/>
        <v>35</v>
      </c>
      <c r="J18" s="2" t="s">
        <v>12</v>
      </c>
      <c r="K18" s="3">
        <v>45503</v>
      </c>
      <c r="L18" s="3">
        <v>45504</v>
      </c>
      <c r="M18" s="4">
        <v>0.47899999999999998</v>
      </c>
      <c r="N18" s="4">
        <v>9.5760000000000005</v>
      </c>
      <c r="O18" s="4">
        <v>289.22699999999998</v>
      </c>
    </row>
    <row r="19" spans="1:16" x14ac:dyDescent="0.2">
      <c r="A19" s="2">
        <v>1</v>
      </c>
      <c r="B19" s="2" t="s">
        <v>9</v>
      </c>
      <c r="C19" s="2" t="s">
        <v>53</v>
      </c>
      <c r="K19" s="3"/>
      <c r="L19" s="3"/>
      <c r="M19" s="4" t="s">
        <v>12</v>
      </c>
      <c r="N19" s="4" t="s">
        <v>12</v>
      </c>
      <c r="O19" s="4">
        <v>209.965</v>
      </c>
      <c r="P19" t="s">
        <v>64</v>
      </c>
    </row>
    <row r="20" spans="1:16" x14ac:dyDescent="0.2">
      <c r="A20" s="2">
        <v>1</v>
      </c>
      <c r="B20" s="2" t="s">
        <v>9</v>
      </c>
      <c r="C20" s="2">
        <v>4</v>
      </c>
      <c r="D20" s="2" t="s">
        <v>43</v>
      </c>
      <c r="E20" s="2">
        <f t="shared" si="2"/>
        <v>16.619025137490002</v>
      </c>
      <c r="F20" s="2">
        <v>18</v>
      </c>
      <c r="G20" s="2">
        <v>14</v>
      </c>
      <c r="H20" s="2">
        <v>0</v>
      </c>
      <c r="I20" s="2">
        <f t="shared" si="0"/>
        <v>32</v>
      </c>
      <c r="J20" s="2" t="s">
        <v>12</v>
      </c>
      <c r="K20" s="3">
        <v>45503</v>
      </c>
      <c r="L20" s="3">
        <v>45504</v>
      </c>
      <c r="M20" s="4">
        <v>0.32500000000000001</v>
      </c>
      <c r="N20" s="4">
        <v>16.812999999999999</v>
      </c>
      <c r="O20" s="4">
        <v>158.61199999999999</v>
      </c>
    </row>
    <row r="21" spans="1:16" x14ac:dyDescent="0.2">
      <c r="A21" s="2">
        <v>1</v>
      </c>
      <c r="B21" s="2" t="s">
        <v>10</v>
      </c>
      <c r="C21" s="2">
        <v>1</v>
      </c>
      <c r="D21" s="2" t="s">
        <v>43</v>
      </c>
      <c r="E21" s="2">
        <f t="shared" si="2"/>
        <v>16.619025137490002</v>
      </c>
      <c r="F21" s="2">
        <v>4</v>
      </c>
      <c r="G21" s="2">
        <v>36</v>
      </c>
      <c r="H21" s="2">
        <v>0</v>
      </c>
      <c r="I21" s="2">
        <f t="shared" si="0"/>
        <v>40</v>
      </c>
      <c r="J21" s="2" t="s">
        <v>12</v>
      </c>
      <c r="K21" s="3">
        <v>45503</v>
      </c>
      <c r="L21" s="3">
        <v>45504</v>
      </c>
      <c r="M21" s="4">
        <v>0.246</v>
      </c>
      <c r="N21" s="4">
        <v>17.023</v>
      </c>
      <c r="O21" s="4">
        <v>104.51600000000001</v>
      </c>
    </row>
    <row r="22" spans="1:16" x14ac:dyDescent="0.2">
      <c r="A22" s="2">
        <v>1</v>
      </c>
      <c r="B22" s="2" t="s">
        <v>10</v>
      </c>
      <c r="C22" s="2">
        <v>2</v>
      </c>
      <c r="D22" s="2" t="s">
        <v>43</v>
      </c>
      <c r="E22" s="2">
        <f t="shared" si="2"/>
        <v>16.619025137490002</v>
      </c>
      <c r="F22" s="2">
        <v>10</v>
      </c>
      <c r="G22" s="2">
        <v>27</v>
      </c>
      <c r="H22" s="2">
        <v>0</v>
      </c>
      <c r="I22" s="2">
        <f t="shared" si="0"/>
        <v>37</v>
      </c>
      <c r="J22" s="2" t="s">
        <v>12</v>
      </c>
      <c r="K22" s="3">
        <v>45503</v>
      </c>
      <c r="L22" s="3">
        <v>45504</v>
      </c>
      <c r="M22" s="4">
        <v>0.47</v>
      </c>
      <c r="N22" s="4">
        <v>13.738</v>
      </c>
      <c r="O22" s="4">
        <v>323.71100000000001</v>
      </c>
    </row>
    <row r="23" spans="1:16" x14ac:dyDescent="0.2">
      <c r="A23" s="2">
        <v>1</v>
      </c>
      <c r="B23" s="2" t="s">
        <v>10</v>
      </c>
      <c r="C23" s="2">
        <v>3</v>
      </c>
      <c r="D23" s="2" t="s">
        <v>43</v>
      </c>
      <c r="E23" s="2">
        <f t="shared" si="2"/>
        <v>16.619025137490002</v>
      </c>
      <c r="F23" s="2">
        <v>9</v>
      </c>
      <c r="G23" s="2">
        <v>24</v>
      </c>
      <c r="H23" s="2">
        <v>0</v>
      </c>
      <c r="I23" s="2">
        <f t="shared" si="0"/>
        <v>33</v>
      </c>
      <c r="J23" s="2" t="s">
        <v>12</v>
      </c>
      <c r="K23" s="3">
        <v>45503</v>
      </c>
      <c r="L23" s="3">
        <v>45504</v>
      </c>
      <c r="M23" s="4">
        <v>0.01</v>
      </c>
      <c r="N23" s="4">
        <v>45.895000000000003</v>
      </c>
      <c r="O23" s="4">
        <v>302.13600000000002</v>
      </c>
    </row>
    <row r="24" spans="1:16" x14ac:dyDescent="0.2">
      <c r="A24" s="2">
        <v>1</v>
      </c>
      <c r="B24" s="2" t="s">
        <v>10</v>
      </c>
      <c r="C24" s="2">
        <v>4</v>
      </c>
      <c r="D24" s="2" t="s">
        <v>43</v>
      </c>
      <c r="E24" s="2">
        <f t="shared" si="2"/>
        <v>16.619025137490002</v>
      </c>
      <c r="F24" s="2">
        <v>7</v>
      </c>
      <c r="G24" s="2">
        <v>36</v>
      </c>
      <c r="H24" s="2">
        <v>0</v>
      </c>
      <c r="I24" s="2">
        <f t="shared" si="0"/>
        <v>43</v>
      </c>
      <c r="J24" s="2" t="s">
        <v>12</v>
      </c>
      <c r="K24" s="3">
        <v>45503</v>
      </c>
      <c r="L24" s="3">
        <v>45504</v>
      </c>
      <c r="M24" s="4">
        <v>0.47799999999999998</v>
      </c>
      <c r="N24" s="4">
        <v>24.718</v>
      </c>
      <c r="O24" s="4" t="s">
        <v>12</v>
      </c>
    </row>
    <row r="25" spans="1:16" x14ac:dyDescent="0.2">
      <c r="A25" s="2">
        <v>1</v>
      </c>
      <c r="B25" s="2" t="s">
        <v>11</v>
      </c>
      <c r="C25" s="2" t="s">
        <v>65</v>
      </c>
      <c r="D25" s="2" t="s">
        <v>43</v>
      </c>
      <c r="E25" s="2">
        <f t="shared" si="2"/>
        <v>16.619025137490002</v>
      </c>
      <c r="F25" s="2">
        <v>9</v>
      </c>
      <c r="G25" s="2">
        <v>23</v>
      </c>
      <c r="H25" s="2">
        <v>0</v>
      </c>
      <c r="I25" s="2">
        <f t="shared" si="0"/>
        <v>32</v>
      </c>
      <c r="J25" s="2" t="s">
        <v>12</v>
      </c>
      <c r="K25" s="3">
        <v>45503</v>
      </c>
      <c r="L25" s="3">
        <v>45504</v>
      </c>
      <c r="M25" s="4">
        <v>1.58</v>
      </c>
      <c r="O25" s="4">
        <v>83.204999999999998</v>
      </c>
    </row>
    <row r="26" spans="1:16" x14ac:dyDescent="0.2">
      <c r="A26" s="2">
        <v>1</v>
      </c>
      <c r="B26" s="2" t="s">
        <v>11</v>
      </c>
      <c r="C26" s="2" t="s">
        <v>66</v>
      </c>
      <c r="K26" s="3"/>
      <c r="L26" s="3"/>
      <c r="M26" s="4" t="s">
        <v>12</v>
      </c>
      <c r="N26" s="4" t="s">
        <v>12</v>
      </c>
      <c r="O26" s="4">
        <v>23.143999999999998</v>
      </c>
      <c r="P26" t="s">
        <v>64</v>
      </c>
    </row>
    <row r="27" spans="1:16" x14ac:dyDescent="0.2">
      <c r="A27" s="2">
        <v>1</v>
      </c>
      <c r="B27" s="2" t="s">
        <v>11</v>
      </c>
      <c r="C27" s="2">
        <v>2</v>
      </c>
      <c r="D27" s="2" t="s">
        <v>43</v>
      </c>
      <c r="E27" s="2">
        <f t="shared" si="2"/>
        <v>16.619025137490002</v>
      </c>
      <c r="F27" s="2">
        <v>12</v>
      </c>
      <c r="G27" s="2">
        <v>18</v>
      </c>
      <c r="H27" s="2">
        <v>0</v>
      </c>
      <c r="I27" s="2">
        <f t="shared" si="0"/>
        <v>30</v>
      </c>
      <c r="J27" s="2" t="s">
        <v>12</v>
      </c>
      <c r="K27" s="3">
        <v>45503</v>
      </c>
      <c r="L27" s="3">
        <v>45504</v>
      </c>
      <c r="M27" s="4">
        <v>1.4999999999999999E-2</v>
      </c>
      <c r="N27" s="4">
        <v>37.003</v>
      </c>
      <c r="O27" s="4">
        <v>54.924999999999997</v>
      </c>
    </row>
    <row r="28" spans="1:16" x14ac:dyDescent="0.2">
      <c r="A28" s="2">
        <v>1</v>
      </c>
      <c r="B28" s="2" t="s">
        <v>11</v>
      </c>
      <c r="C28" s="2">
        <v>3</v>
      </c>
      <c r="D28" s="2" t="s">
        <v>43</v>
      </c>
      <c r="E28" s="2">
        <f t="shared" si="2"/>
        <v>16.619025137490002</v>
      </c>
      <c r="F28" s="2">
        <v>19</v>
      </c>
      <c r="G28" s="2">
        <v>26</v>
      </c>
      <c r="H28" s="2">
        <v>0</v>
      </c>
      <c r="I28" s="2">
        <f t="shared" si="0"/>
        <v>45</v>
      </c>
      <c r="J28" s="2" t="s">
        <v>12</v>
      </c>
      <c r="K28" s="3">
        <v>45503</v>
      </c>
      <c r="L28" s="3">
        <v>45504</v>
      </c>
      <c r="M28" s="4">
        <v>8.3000000000000004E-2</v>
      </c>
      <c r="N28" s="4">
        <v>27.81</v>
      </c>
      <c r="O28" s="4">
        <v>0.24199999999999999</v>
      </c>
    </row>
    <row r="29" spans="1:16" x14ac:dyDescent="0.2">
      <c r="A29" s="2">
        <v>1</v>
      </c>
      <c r="B29" s="2" t="s">
        <v>11</v>
      </c>
      <c r="C29" s="2">
        <v>4</v>
      </c>
      <c r="D29" s="2" t="s">
        <v>43</v>
      </c>
      <c r="E29" s="2">
        <f t="shared" si="2"/>
        <v>16.619025137490002</v>
      </c>
      <c r="F29" s="2">
        <v>8</v>
      </c>
      <c r="G29" s="2">
        <v>26</v>
      </c>
      <c r="H29" s="2">
        <v>0</v>
      </c>
      <c r="I29" s="2">
        <f t="shared" si="0"/>
        <v>34</v>
      </c>
      <c r="J29" s="2" t="s">
        <v>12</v>
      </c>
      <c r="K29" s="3">
        <v>45503</v>
      </c>
      <c r="L29" s="3">
        <v>45504</v>
      </c>
      <c r="M29" s="4">
        <v>2.3E-2</v>
      </c>
      <c r="N29" s="4">
        <v>18.387</v>
      </c>
      <c r="O29" s="4">
        <v>312.27100000000002</v>
      </c>
    </row>
    <row r="30" spans="1:16" x14ac:dyDescent="0.2">
      <c r="A30" s="2">
        <v>2</v>
      </c>
      <c r="B30" s="2" t="s">
        <v>6</v>
      </c>
      <c r="C30" s="2">
        <v>1</v>
      </c>
      <c r="D30" s="2" t="s">
        <v>43</v>
      </c>
      <c r="E30" s="2">
        <f t="shared" si="2"/>
        <v>16.619025137490002</v>
      </c>
      <c r="F30" s="2">
        <v>0</v>
      </c>
      <c r="G30" s="2">
        <v>43.5</v>
      </c>
      <c r="H30" s="2">
        <v>12.5</v>
      </c>
      <c r="I30" s="2">
        <f t="shared" si="0"/>
        <v>56</v>
      </c>
      <c r="J30" s="2" t="s">
        <v>12</v>
      </c>
      <c r="K30" s="3">
        <v>45503</v>
      </c>
      <c r="L30" s="3">
        <v>45504</v>
      </c>
      <c r="M30" s="4">
        <v>0.23699999999999999</v>
      </c>
      <c r="N30" s="4" t="s">
        <v>12</v>
      </c>
      <c r="O30" s="4">
        <v>770.34400000000005</v>
      </c>
      <c r="P30" t="s">
        <v>23</v>
      </c>
    </row>
    <row r="31" spans="1:16" x14ac:dyDescent="0.2">
      <c r="A31" s="2">
        <v>2</v>
      </c>
      <c r="B31" s="2" t="s">
        <v>6</v>
      </c>
      <c r="C31" s="2">
        <v>2</v>
      </c>
      <c r="D31" s="2" t="s">
        <v>43</v>
      </c>
      <c r="E31" s="2">
        <f t="shared" si="2"/>
        <v>16.619025137490002</v>
      </c>
      <c r="F31" s="2">
        <v>0.5</v>
      </c>
      <c r="G31" s="2">
        <v>52</v>
      </c>
      <c r="H31" s="2">
        <v>0</v>
      </c>
      <c r="I31" s="2">
        <f t="shared" ref="I31:I68" si="3">SUM(F31:H31)</f>
        <v>52.5</v>
      </c>
      <c r="J31" s="2" t="s">
        <v>12</v>
      </c>
      <c r="K31" s="3">
        <v>45503</v>
      </c>
      <c r="L31" s="3">
        <v>45504</v>
      </c>
      <c r="M31" s="4">
        <v>0.38300000000000001</v>
      </c>
      <c r="N31" s="4">
        <v>4.9340000000000002</v>
      </c>
      <c r="O31" s="4">
        <v>632.47299999999996</v>
      </c>
    </row>
    <row r="32" spans="1:16" x14ac:dyDescent="0.2">
      <c r="A32" s="2">
        <v>2</v>
      </c>
      <c r="B32" s="2" t="s">
        <v>6</v>
      </c>
      <c r="C32" s="2">
        <v>3</v>
      </c>
      <c r="D32" s="2" t="s">
        <v>43</v>
      </c>
      <c r="E32" s="2">
        <f t="shared" si="2"/>
        <v>16.619025137490002</v>
      </c>
      <c r="F32" s="2">
        <v>14</v>
      </c>
      <c r="G32" s="2">
        <v>24</v>
      </c>
      <c r="H32" s="2">
        <v>0</v>
      </c>
      <c r="I32" s="2">
        <f t="shared" si="3"/>
        <v>38</v>
      </c>
      <c r="J32" s="2" t="s">
        <v>12</v>
      </c>
      <c r="K32" s="3">
        <v>45503</v>
      </c>
      <c r="L32" s="3">
        <v>45504</v>
      </c>
      <c r="N32" s="4">
        <v>7.242</v>
      </c>
      <c r="O32" s="4">
        <v>29.558</v>
      </c>
    </row>
    <row r="33" spans="1:18" x14ac:dyDescent="0.2">
      <c r="A33" s="2">
        <v>2</v>
      </c>
      <c r="B33" s="2" t="s">
        <v>6</v>
      </c>
      <c r="C33" s="2" t="s">
        <v>67</v>
      </c>
      <c r="D33" s="2" t="s">
        <v>43</v>
      </c>
      <c r="E33" s="2">
        <f t="shared" si="2"/>
        <v>16.619025137490002</v>
      </c>
      <c r="F33" s="2">
        <v>15</v>
      </c>
      <c r="G33" s="2">
        <v>32</v>
      </c>
      <c r="H33" s="2">
        <v>0</v>
      </c>
      <c r="I33" s="2">
        <f t="shared" si="3"/>
        <v>47</v>
      </c>
      <c r="J33" s="2" t="s">
        <v>12</v>
      </c>
      <c r="K33" s="3">
        <v>45503</v>
      </c>
      <c r="L33" s="3">
        <v>45504</v>
      </c>
      <c r="M33" s="4">
        <v>0.50800000000000001</v>
      </c>
      <c r="N33" s="4">
        <v>12.222</v>
      </c>
      <c r="O33" s="4">
        <v>131.41999999999999</v>
      </c>
    </row>
    <row r="34" spans="1:18" x14ac:dyDescent="0.2">
      <c r="A34" s="2">
        <v>2</v>
      </c>
      <c r="B34" s="2" t="s">
        <v>6</v>
      </c>
      <c r="C34" s="2" t="s">
        <v>68</v>
      </c>
      <c r="K34" s="3"/>
      <c r="L34" s="3"/>
      <c r="M34" s="4" t="s">
        <v>12</v>
      </c>
      <c r="N34" s="4" t="s">
        <v>12</v>
      </c>
      <c r="O34" s="4">
        <v>2.4460000000000002</v>
      </c>
      <c r="P34" t="s">
        <v>64</v>
      </c>
    </row>
    <row r="35" spans="1:18" x14ac:dyDescent="0.2">
      <c r="A35" s="2">
        <v>2</v>
      </c>
      <c r="B35" s="2" t="s">
        <v>7</v>
      </c>
      <c r="C35" s="2">
        <v>1</v>
      </c>
      <c r="D35" s="2" t="s">
        <v>43</v>
      </c>
      <c r="E35" s="2">
        <f t="shared" si="2"/>
        <v>16.619025137490002</v>
      </c>
      <c r="F35" s="2">
        <v>10</v>
      </c>
      <c r="G35" s="2">
        <v>26</v>
      </c>
      <c r="H35" s="2">
        <v>0</v>
      </c>
      <c r="I35" s="2">
        <f t="shared" si="3"/>
        <v>36</v>
      </c>
      <c r="J35" s="2" t="s">
        <v>12</v>
      </c>
      <c r="K35" s="3">
        <v>45503</v>
      </c>
      <c r="L35" s="3">
        <v>45504</v>
      </c>
      <c r="M35" s="4">
        <v>0.42799999999999999</v>
      </c>
      <c r="N35" s="4">
        <v>14.303000000000001</v>
      </c>
      <c r="O35" s="4">
        <v>129.20500000000001</v>
      </c>
    </row>
    <row r="36" spans="1:18" x14ac:dyDescent="0.2">
      <c r="A36" s="2">
        <v>2</v>
      </c>
      <c r="B36" s="2" t="s">
        <v>7</v>
      </c>
      <c r="C36" s="2" t="s">
        <v>48</v>
      </c>
      <c r="D36" s="2" t="s">
        <v>43</v>
      </c>
      <c r="E36" s="2">
        <f>PI()*(4.6/2)^2</f>
        <v>16.619025137490002</v>
      </c>
      <c r="F36" s="2">
        <v>17</v>
      </c>
      <c r="G36" s="2" t="s">
        <v>12</v>
      </c>
      <c r="H36" s="2">
        <v>14</v>
      </c>
      <c r="I36" s="2">
        <f>SUM(F36:H36)</f>
        <v>31</v>
      </c>
      <c r="J36" s="2" t="s">
        <v>12</v>
      </c>
      <c r="K36" s="3">
        <v>45503</v>
      </c>
      <c r="L36" s="3">
        <v>45504</v>
      </c>
      <c r="M36" s="4">
        <v>1.925</v>
      </c>
      <c r="N36" s="4">
        <v>13.621</v>
      </c>
      <c r="O36" s="4" t="s">
        <v>12</v>
      </c>
      <c r="P36" t="s">
        <v>49</v>
      </c>
      <c r="Q36" s="1"/>
      <c r="R36" s="1"/>
    </row>
    <row r="37" spans="1:18" x14ac:dyDescent="0.2">
      <c r="A37" s="2">
        <v>2</v>
      </c>
      <c r="B37" s="2" t="s">
        <v>7</v>
      </c>
      <c r="C37" s="2" t="s">
        <v>50</v>
      </c>
      <c r="D37" s="2" t="s">
        <v>13</v>
      </c>
      <c r="E37" s="2">
        <f>PI()*(4.6/2)^2</f>
        <v>16.619025137490002</v>
      </c>
      <c r="F37" s="2">
        <v>19</v>
      </c>
      <c r="G37" s="2">
        <v>25</v>
      </c>
      <c r="H37" s="2">
        <v>0</v>
      </c>
      <c r="I37" s="2">
        <f>SUM(F37:H37)</f>
        <v>44</v>
      </c>
      <c r="J37" s="2" t="s">
        <v>12</v>
      </c>
      <c r="K37" s="3">
        <v>45505</v>
      </c>
      <c r="L37" s="3">
        <v>45505</v>
      </c>
      <c r="M37" s="4">
        <v>0.217</v>
      </c>
      <c r="N37" s="4">
        <v>32.789000000000001</v>
      </c>
      <c r="O37" s="4">
        <v>201.49299999999999</v>
      </c>
      <c r="P37" t="s">
        <v>51</v>
      </c>
      <c r="Q37" s="1"/>
      <c r="R37" s="1"/>
    </row>
    <row r="38" spans="1:18" x14ac:dyDescent="0.2">
      <c r="A38" s="2">
        <v>2</v>
      </c>
      <c r="B38" s="2" t="s">
        <v>7</v>
      </c>
      <c r="C38" s="2">
        <v>3</v>
      </c>
      <c r="D38" s="2" t="s">
        <v>43</v>
      </c>
      <c r="E38" s="2">
        <f t="shared" si="2"/>
        <v>16.619025137490002</v>
      </c>
      <c r="F38" s="2">
        <v>12.5</v>
      </c>
      <c r="G38" s="2">
        <v>29</v>
      </c>
      <c r="H38" s="2">
        <v>0</v>
      </c>
      <c r="I38" s="2">
        <f t="shared" si="3"/>
        <v>41.5</v>
      </c>
      <c r="J38" s="2" t="s">
        <v>12</v>
      </c>
      <c r="K38" s="3">
        <v>45503</v>
      </c>
      <c r="L38" s="3">
        <v>45504</v>
      </c>
      <c r="M38" s="4">
        <v>0.377</v>
      </c>
      <c r="N38" s="4">
        <v>13.667</v>
      </c>
      <c r="O38" s="4">
        <v>247.613</v>
      </c>
    </row>
    <row r="39" spans="1:18" x14ac:dyDescent="0.2">
      <c r="A39" s="2">
        <v>2</v>
      </c>
      <c r="B39" s="2" t="s">
        <v>7</v>
      </c>
      <c r="C39" s="2">
        <v>4</v>
      </c>
      <c r="D39" s="2" t="s">
        <v>43</v>
      </c>
      <c r="E39" s="2">
        <f t="shared" si="2"/>
        <v>16.619025137490002</v>
      </c>
      <c r="F39" s="2">
        <v>4</v>
      </c>
      <c r="G39" s="2">
        <v>31.5</v>
      </c>
      <c r="H39" s="2">
        <v>10.5</v>
      </c>
      <c r="I39" s="2">
        <f t="shared" si="3"/>
        <v>46</v>
      </c>
      <c r="J39" s="2" t="s">
        <v>12</v>
      </c>
      <c r="K39" s="3">
        <v>45503</v>
      </c>
      <c r="L39" s="3">
        <v>45504</v>
      </c>
      <c r="M39" s="4">
        <v>0.41099999999999998</v>
      </c>
      <c r="N39" s="4">
        <v>17.254999999999999</v>
      </c>
      <c r="O39" s="4">
        <v>327.37200000000001</v>
      </c>
      <c r="P39" t="s">
        <v>24</v>
      </c>
    </row>
    <row r="40" spans="1:18" x14ac:dyDescent="0.2">
      <c r="A40" s="2">
        <v>2</v>
      </c>
      <c r="B40" s="2" t="s">
        <v>8</v>
      </c>
      <c r="C40" s="2">
        <v>1</v>
      </c>
      <c r="D40" s="2" t="s">
        <v>43</v>
      </c>
      <c r="E40" s="2">
        <f t="shared" si="2"/>
        <v>16.619025137490002</v>
      </c>
      <c r="F40" s="2">
        <v>14.5</v>
      </c>
      <c r="G40" s="2" t="s">
        <v>12</v>
      </c>
      <c r="H40" s="2">
        <v>0</v>
      </c>
      <c r="I40" s="2">
        <f t="shared" si="3"/>
        <v>14.5</v>
      </c>
      <c r="J40" s="2" t="s">
        <v>12</v>
      </c>
      <c r="K40" s="3">
        <v>45503</v>
      </c>
      <c r="L40" s="3">
        <v>45504</v>
      </c>
      <c r="M40" s="4">
        <v>0.56200000000000006</v>
      </c>
      <c r="N40" s="4">
        <v>14.131</v>
      </c>
      <c r="O40" s="4">
        <v>64.962000000000003</v>
      </c>
    </row>
    <row r="41" spans="1:18" x14ac:dyDescent="0.2">
      <c r="A41" s="2">
        <v>2</v>
      </c>
      <c r="B41" s="2" t="s">
        <v>8</v>
      </c>
      <c r="C41" s="2">
        <v>2</v>
      </c>
      <c r="D41" s="2" t="s">
        <v>43</v>
      </c>
      <c r="E41" s="2">
        <f t="shared" si="2"/>
        <v>16.619025137490002</v>
      </c>
      <c r="F41" s="2">
        <v>24</v>
      </c>
      <c r="G41" s="2" t="s">
        <v>12</v>
      </c>
      <c r="H41" s="2">
        <v>0</v>
      </c>
      <c r="I41" s="2">
        <f t="shared" si="3"/>
        <v>24</v>
      </c>
      <c r="J41" s="2" t="s">
        <v>12</v>
      </c>
      <c r="K41" s="3">
        <v>45503</v>
      </c>
      <c r="L41" s="3">
        <v>45504</v>
      </c>
      <c r="M41" s="4" t="s">
        <v>12</v>
      </c>
      <c r="N41" s="4">
        <v>35.271000000000001</v>
      </c>
      <c r="O41" s="4">
        <v>167.00399999999999</v>
      </c>
      <c r="P41" t="s">
        <v>25</v>
      </c>
    </row>
    <row r="42" spans="1:18" x14ac:dyDescent="0.2">
      <c r="A42" s="2">
        <v>2</v>
      </c>
      <c r="B42" s="2" t="s">
        <v>8</v>
      </c>
      <c r="C42" s="2" t="s">
        <v>52</v>
      </c>
      <c r="D42" s="2" t="s">
        <v>43</v>
      </c>
      <c r="E42" s="2">
        <f>PI()*(4.6/2)^2</f>
        <v>16.619025137490002</v>
      </c>
      <c r="F42" s="2">
        <v>2</v>
      </c>
      <c r="G42" s="2">
        <v>22</v>
      </c>
      <c r="H42" s="2">
        <v>14</v>
      </c>
      <c r="I42" s="2">
        <f>SUM(F42:H42)</f>
        <v>38</v>
      </c>
      <c r="J42" s="2" t="s">
        <v>12</v>
      </c>
      <c r="K42" s="3">
        <v>45503</v>
      </c>
      <c r="L42" s="3">
        <v>45504</v>
      </c>
      <c r="M42" s="4">
        <v>0.184</v>
      </c>
      <c r="N42" s="4">
        <v>19.640999999999998</v>
      </c>
      <c r="O42" s="4">
        <v>152.93299999999999</v>
      </c>
      <c r="P42" t="s">
        <v>57</v>
      </c>
      <c r="Q42" s="1"/>
      <c r="R42" s="1"/>
    </row>
    <row r="43" spans="1:18" x14ac:dyDescent="0.2">
      <c r="A43" s="2">
        <v>2</v>
      </c>
      <c r="B43" s="2" t="s">
        <v>8</v>
      </c>
      <c r="C43" s="2" t="s">
        <v>53</v>
      </c>
      <c r="D43" s="2" t="s">
        <v>43</v>
      </c>
      <c r="E43" s="2">
        <f>PI()*(4.6/2)^2</f>
        <v>16.619025137490002</v>
      </c>
      <c r="F43" s="2">
        <v>3.5</v>
      </c>
      <c r="G43" s="2">
        <v>9.5</v>
      </c>
      <c r="H43" s="2">
        <v>24.5</v>
      </c>
      <c r="I43" s="2">
        <f>SUM(F43:H43)</f>
        <v>37.5</v>
      </c>
      <c r="J43" s="2" t="s">
        <v>12</v>
      </c>
      <c r="K43" s="3">
        <v>45505</v>
      </c>
      <c r="L43" s="3">
        <v>45505</v>
      </c>
      <c r="M43" s="4">
        <v>1E-3</v>
      </c>
      <c r="N43" s="4">
        <v>19.167000000000002</v>
      </c>
      <c r="O43" s="4">
        <v>414.34</v>
      </c>
      <c r="P43" t="s">
        <v>69</v>
      </c>
      <c r="Q43" s="1"/>
      <c r="R43" s="1"/>
    </row>
    <row r="44" spans="1:18" x14ac:dyDescent="0.2">
      <c r="A44" s="2">
        <v>2</v>
      </c>
      <c r="B44" s="2" t="s">
        <v>8</v>
      </c>
      <c r="C44" s="2">
        <v>4</v>
      </c>
      <c r="D44" s="2" t="s">
        <v>43</v>
      </c>
      <c r="E44" s="2">
        <f t="shared" si="2"/>
        <v>16.619025137490002</v>
      </c>
      <c r="F44" s="2">
        <v>10</v>
      </c>
      <c r="G44" s="2">
        <v>26</v>
      </c>
      <c r="H44" s="2">
        <v>0</v>
      </c>
      <c r="I44" s="2">
        <f t="shared" si="3"/>
        <v>36</v>
      </c>
      <c r="J44" s="2" t="s">
        <v>12</v>
      </c>
      <c r="K44" s="3">
        <v>45503</v>
      </c>
      <c r="L44" s="3">
        <v>45504</v>
      </c>
      <c r="M44" s="4">
        <v>1.3540000000000001</v>
      </c>
      <c r="N44" s="4">
        <v>13.692</v>
      </c>
      <c r="O44" s="4" t="s">
        <v>12</v>
      </c>
    </row>
    <row r="45" spans="1:18" x14ac:dyDescent="0.2">
      <c r="A45" s="2">
        <v>2</v>
      </c>
      <c r="B45" s="2" t="s">
        <v>9</v>
      </c>
      <c r="C45" s="2">
        <v>1</v>
      </c>
      <c r="D45" s="2" t="s">
        <v>43</v>
      </c>
      <c r="E45" s="2">
        <f t="shared" si="2"/>
        <v>16.619025137490002</v>
      </c>
      <c r="F45" s="2">
        <v>10</v>
      </c>
      <c r="G45" s="2">
        <v>17</v>
      </c>
      <c r="H45" s="2">
        <v>1</v>
      </c>
      <c r="I45" s="2">
        <f t="shared" si="3"/>
        <v>28</v>
      </c>
      <c r="J45" s="2" t="s">
        <v>12</v>
      </c>
      <c r="K45" s="3">
        <v>45503</v>
      </c>
      <c r="L45" s="3">
        <v>45504</v>
      </c>
      <c r="M45" s="4">
        <v>1.0960000000000001</v>
      </c>
      <c r="N45" s="4">
        <v>29.832999999999998</v>
      </c>
      <c r="O45" s="4">
        <v>140.209</v>
      </c>
      <c r="P45" t="s">
        <v>26</v>
      </c>
    </row>
    <row r="46" spans="1:18" x14ac:dyDescent="0.2">
      <c r="A46" s="2">
        <v>2</v>
      </c>
      <c r="B46" s="2" t="s">
        <v>9</v>
      </c>
      <c r="C46" s="2">
        <v>2</v>
      </c>
      <c r="D46" s="2" t="s">
        <v>43</v>
      </c>
      <c r="E46" s="2">
        <f t="shared" si="2"/>
        <v>16.619025137490002</v>
      </c>
      <c r="F46" s="2">
        <v>10</v>
      </c>
      <c r="G46" s="2">
        <v>18.5</v>
      </c>
      <c r="H46" s="2">
        <v>0</v>
      </c>
      <c r="I46" s="2">
        <f t="shared" si="3"/>
        <v>28.5</v>
      </c>
      <c r="J46" s="2" t="s">
        <v>12</v>
      </c>
      <c r="K46" s="3">
        <v>45503</v>
      </c>
      <c r="L46" s="3">
        <v>45504</v>
      </c>
      <c r="M46" s="4">
        <v>4.2000000000000003E-2</v>
      </c>
      <c r="N46" s="4">
        <v>15.321</v>
      </c>
      <c r="O46" s="4">
        <v>163.88300000000001</v>
      </c>
      <c r="P46" t="s">
        <v>27</v>
      </c>
    </row>
    <row r="47" spans="1:18" x14ac:dyDescent="0.2">
      <c r="A47" s="2">
        <v>2</v>
      </c>
      <c r="B47" s="2" t="s">
        <v>9</v>
      </c>
      <c r="C47" s="2">
        <v>3</v>
      </c>
      <c r="D47" s="2" t="s">
        <v>43</v>
      </c>
      <c r="E47" s="2">
        <f t="shared" si="2"/>
        <v>16.619025137490002</v>
      </c>
      <c r="F47" s="2">
        <v>10.5</v>
      </c>
      <c r="G47" s="2">
        <v>29</v>
      </c>
      <c r="H47" s="2">
        <v>0</v>
      </c>
      <c r="I47" s="2">
        <f t="shared" si="3"/>
        <v>39.5</v>
      </c>
      <c r="J47" s="2" t="s">
        <v>12</v>
      </c>
      <c r="K47" s="3">
        <v>45503</v>
      </c>
      <c r="L47" s="3">
        <v>45504</v>
      </c>
      <c r="M47" s="4" t="s">
        <v>12</v>
      </c>
      <c r="N47" s="4">
        <v>7.7430000000000003</v>
      </c>
      <c r="P47" t="s">
        <v>28</v>
      </c>
    </row>
    <row r="48" spans="1:18" x14ac:dyDescent="0.2">
      <c r="A48" s="2">
        <v>2</v>
      </c>
      <c r="B48" s="2" t="s">
        <v>9</v>
      </c>
      <c r="C48" s="2">
        <v>4</v>
      </c>
      <c r="D48" s="2" t="s">
        <v>43</v>
      </c>
      <c r="E48" s="2">
        <f t="shared" si="2"/>
        <v>16.619025137490002</v>
      </c>
      <c r="F48" s="2">
        <v>8</v>
      </c>
      <c r="G48" s="2">
        <v>16.5</v>
      </c>
      <c r="H48" s="2">
        <v>0</v>
      </c>
      <c r="I48" s="2">
        <f t="shared" si="3"/>
        <v>24.5</v>
      </c>
      <c r="J48" s="2" t="s">
        <v>12</v>
      </c>
      <c r="K48" s="3">
        <v>45503</v>
      </c>
      <c r="L48" s="3">
        <v>45504</v>
      </c>
      <c r="M48" s="4">
        <v>8.4000000000000005E-2</v>
      </c>
      <c r="N48" s="4">
        <v>5.1210000000000004</v>
      </c>
      <c r="O48" s="4">
        <v>147.64400000000001</v>
      </c>
      <c r="P48" t="s">
        <v>29</v>
      </c>
    </row>
    <row r="49" spans="1:18" x14ac:dyDescent="0.2">
      <c r="A49" s="2">
        <v>2</v>
      </c>
      <c r="B49" s="2" t="s">
        <v>10</v>
      </c>
      <c r="C49" s="2">
        <v>1</v>
      </c>
      <c r="D49" s="2" t="s">
        <v>43</v>
      </c>
      <c r="E49" s="2">
        <f t="shared" si="2"/>
        <v>16.619025137490002</v>
      </c>
      <c r="F49" s="2">
        <v>8.5</v>
      </c>
      <c r="G49" s="2">
        <v>27.5</v>
      </c>
      <c r="H49" s="2">
        <v>0</v>
      </c>
      <c r="I49" s="2">
        <f t="shared" si="3"/>
        <v>36</v>
      </c>
      <c r="J49" s="2" t="s">
        <v>12</v>
      </c>
      <c r="K49" s="3">
        <v>45503</v>
      </c>
      <c r="L49" s="3">
        <v>45504</v>
      </c>
      <c r="M49" s="4">
        <v>0.27300000000000002</v>
      </c>
      <c r="N49" s="4">
        <v>11.587999999999999</v>
      </c>
      <c r="O49" s="4">
        <v>151.512</v>
      </c>
      <c r="P49" t="s">
        <v>30</v>
      </c>
    </row>
    <row r="50" spans="1:18" x14ac:dyDescent="0.2">
      <c r="A50" s="2">
        <v>2</v>
      </c>
      <c r="B50" s="2" t="s">
        <v>10</v>
      </c>
      <c r="C50" s="2">
        <v>2</v>
      </c>
      <c r="D50" s="2" t="s">
        <v>43</v>
      </c>
      <c r="E50" s="2">
        <f t="shared" si="2"/>
        <v>16.619025137490002</v>
      </c>
      <c r="F50" s="2">
        <v>17</v>
      </c>
      <c r="G50" s="2">
        <v>4</v>
      </c>
      <c r="H50" s="2">
        <v>0</v>
      </c>
      <c r="I50" s="2">
        <f t="shared" si="3"/>
        <v>21</v>
      </c>
      <c r="J50" s="2" t="s">
        <v>12</v>
      </c>
      <c r="K50" s="3">
        <v>45503</v>
      </c>
      <c r="L50" s="3">
        <v>45504</v>
      </c>
      <c r="N50" s="4">
        <v>10.359</v>
      </c>
      <c r="O50" s="4">
        <v>11.045999999999999</v>
      </c>
      <c r="P50" t="s">
        <v>31</v>
      </c>
    </row>
    <row r="51" spans="1:18" x14ac:dyDescent="0.2">
      <c r="A51" s="2">
        <v>2</v>
      </c>
      <c r="B51" s="2" t="s">
        <v>10</v>
      </c>
      <c r="C51" s="2" t="s">
        <v>52</v>
      </c>
      <c r="D51" s="2" t="s">
        <v>43</v>
      </c>
      <c r="E51" s="2">
        <f>PI()*(4.6/2)^2</f>
        <v>16.619025137490002</v>
      </c>
      <c r="F51" s="2">
        <v>4</v>
      </c>
      <c r="G51" s="2">
        <v>14</v>
      </c>
      <c r="H51" s="2">
        <v>16</v>
      </c>
      <c r="I51" s="2">
        <f>SUM(F51:H51)</f>
        <v>34</v>
      </c>
      <c r="J51" s="2" t="s">
        <v>12</v>
      </c>
      <c r="K51" s="3">
        <v>45503</v>
      </c>
      <c r="L51" s="3">
        <v>45504</v>
      </c>
      <c r="N51" s="4">
        <v>5.9770000000000003</v>
      </c>
      <c r="O51" s="4">
        <v>111.66500000000001</v>
      </c>
      <c r="P51" t="s">
        <v>54</v>
      </c>
      <c r="Q51" s="1"/>
      <c r="R51" s="1"/>
    </row>
    <row r="52" spans="1:18" x14ac:dyDescent="0.2">
      <c r="A52" s="2">
        <v>2</v>
      </c>
      <c r="B52" s="2" t="s">
        <v>10</v>
      </c>
      <c r="C52" s="2" t="s">
        <v>53</v>
      </c>
      <c r="D52" s="2" t="s">
        <v>43</v>
      </c>
      <c r="E52" s="2">
        <f>PI()*(4.6/2)^2</f>
        <v>16.619025137490002</v>
      </c>
      <c r="F52" s="2">
        <v>10</v>
      </c>
      <c r="G52" s="2">
        <v>29</v>
      </c>
      <c r="H52" s="2">
        <v>0</v>
      </c>
      <c r="I52" s="2">
        <f>SUM(F52:H52)</f>
        <v>39</v>
      </c>
      <c r="J52" s="2" t="s">
        <v>12</v>
      </c>
      <c r="K52" s="3">
        <v>45505</v>
      </c>
      <c r="L52" s="3">
        <v>45505</v>
      </c>
      <c r="M52" s="4">
        <v>0.10199999999999999</v>
      </c>
      <c r="N52" s="4">
        <v>4.9660000000000002</v>
      </c>
      <c r="O52" s="4">
        <v>478.76</v>
      </c>
      <c r="P52" s="1" t="s">
        <v>55</v>
      </c>
      <c r="Q52" s="1"/>
      <c r="R52" s="1"/>
    </row>
    <row r="53" spans="1:18" x14ac:dyDescent="0.2">
      <c r="A53" s="2">
        <v>2</v>
      </c>
      <c r="B53" s="2" t="s">
        <v>10</v>
      </c>
      <c r="C53" s="2">
        <v>4</v>
      </c>
      <c r="D53" s="2" t="s">
        <v>43</v>
      </c>
      <c r="E53" s="2">
        <f t="shared" si="2"/>
        <v>16.619025137490002</v>
      </c>
      <c r="F53" s="2">
        <v>16</v>
      </c>
      <c r="G53" s="2">
        <v>4.5</v>
      </c>
      <c r="H53" s="2">
        <v>0</v>
      </c>
      <c r="I53" s="2">
        <f t="shared" si="3"/>
        <v>20.5</v>
      </c>
      <c r="J53" s="2" t="s">
        <v>12</v>
      </c>
      <c r="K53" s="3">
        <v>45503</v>
      </c>
      <c r="L53" s="3">
        <v>45504</v>
      </c>
      <c r="M53" s="4">
        <v>1.0999999999999999E-2</v>
      </c>
      <c r="N53" s="4">
        <v>11.186</v>
      </c>
      <c r="O53" s="4" t="s">
        <v>12</v>
      </c>
      <c r="P53" t="s">
        <v>32</v>
      </c>
    </row>
    <row r="54" spans="1:18" x14ac:dyDescent="0.2">
      <c r="A54" s="2">
        <v>2</v>
      </c>
      <c r="B54" s="2" t="s">
        <v>11</v>
      </c>
      <c r="C54" s="2">
        <v>1</v>
      </c>
      <c r="D54" s="2" t="s">
        <v>43</v>
      </c>
      <c r="E54" s="2">
        <f t="shared" si="2"/>
        <v>16.619025137490002</v>
      </c>
      <c r="F54" s="2">
        <v>7</v>
      </c>
      <c r="G54" s="2">
        <v>23.5</v>
      </c>
      <c r="H54" s="2">
        <v>0</v>
      </c>
      <c r="I54" s="2">
        <f t="shared" si="3"/>
        <v>30.5</v>
      </c>
      <c r="J54" s="2" t="s">
        <v>12</v>
      </c>
      <c r="K54" s="3">
        <v>45503</v>
      </c>
      <c r="L54" s="3">
        <v>45504</v>
      </c>
      <c r="M54" s="4">
        <v>5.0000000000000001E-3</v>
      </c>
      <c r="N54" s="4">
        <v>15.725</v>
      </c>
      <c r="O54" s="4">
        <v>237.482</v>
      </c>
      <c r="P54" t="s">
        <v>33</v>
      </c>
    </row>
    <row r="55" spans="1:18" x14ac:dyDescent="0.2">
      <c r="A55" s="2">
        <v>2</v>
      </c>
      <c r="B55" s="2" t="s">
        <v>11</v>
      </c>
      <c r="C55" s="2">
        <v>2</v>
      </c>
      <c r="D55" s="2" t="s">
        <v>43</v>
      </c>
      <c r="E55" s="2">
        <f t="shared" si="2"/>
        <v>16.619025137490002</v>
      </c>
      <c r="F55" s="2">
        <v>12</v>
      </c>
      <c r="G55" s="2">
        <v>23</v>
      </c>
      <c r="H55" s="2">
        <v>0</v>
      </c>
      <c r="I55" s="2">
        <f t="shared" si="3"/>
        <v>35</v>
      </c>
      <c r="J55" s="2" t="s">
        <v>12</v>
      </c>
      <c r="K55" s="3">
        <v>45503</v>
      </c>
      <c r="L55" s="3">
        <v>45504</v>
      </c>
      <c r="M55" s="4">
        <v>2.5999999999999999E-2</v>
      </c>
      <c r="O55" s="4">
        <v>105.20099999999999</v>
      </c>
      <c r="P55" t="s">
        <v>34</v>
      </c>
    </row>
    <row r="56" spans="1:18" x14ac:dyDescent="0.2">
      <c r="A56" s="2">
        <v>2</v>
      </c>
      <c r="B56" s="2" t="s">
        <v>11</v>
      </c>
      <c r="C56" s="2" t="s">
        <v>52</v>
      </c>
      <c r="D56" s="2" t="s">
        <v>43</v>
      </c>
      <c r="E56" s="2">
        <f t="shared" ref="E56:E84" si="4">PI()*(4.6/2)^2</f>
        <v>16.619025137490002</v>
      </c>
      <c r="F56" s="2">
        <v>7</v>
      </c>
      <c r="G56" s="2">
        <v>25</v>
      </c>
      <c r="H56" s="2">
        <v>0</v>
      </c>
      <c r="I56" s="2">
        <f t="shared" si="3"/>
        <v>32</v>
      </c>
      <c r="J56" s="2" t="s">
        <v>12</v>
      </c>
      <c r="K56" s="3">
        <v>45503</v>
      </c>
      <c r="L56" s="3">
        <v>45504</v>
      </c>
      <c r="M56" s="4">
        <v>2.4E-2</v>
      </c>
      <c r="N56" s="4" t="s">
        <v>12</v>
      </c>
      <c r="O56" s="4">
        <v>196.851</v>
      </c>
      <c r="P56" t="s">
        <v>63</v>
      </c>
    </row>
    <row r="57" spans="1:18" x14ac:dyDescent="0.2">
      <c r="A57" s="2">
        <v>2</v>
      </c>
      <c r="B57" s="2" t="s">
        <v>11</v>
      </c>
      <c r="C57" s="2" t="s">
        <v>53</v>
      </c>
      <c r="K57" s="3"/>
      <c r="L57" s="3"/>
      <c r="M57" s="4" t="s">
        <v>12</v>
      </c>
      <c r="N57" s="4" t="s">
        <v>12</v>
      </c>
      <c r="O57" s="4">
        <v>43.756</v>
      </c>
      <c r="P57" t="s">
        <v>63</v>
      </c>
    </row>
    <row r="58" spans="1:18" x14ac:dyDescent="0.2">
      <c r="A58" s="2">
        <v>2</v>
      </c>
      <c r="B58" s="2" t="s">
        <v>11</v>
      </c>
      <c r="C58" s="2">
        <v>4</v>
      </c>
      <c r="D58" s="2" t="s">
        <v>43</v>
      </c>
      <c r="E58" s="2">
        <f t="shared" si="4"/>
        <v>16.619025137490002</v>
      </c>
      <c r="F58" s="2">
        <v>10</v>
      </c>
      <c r="G58" s="2">
        <v>11</v>
      </c>
      <c r="H58" s="2">
        <v>0</v>
      </c>
      <c r="I58" s="2">
        <f t="shared" si="3"/>
        <v>21</v>
      </c>
      <c r="J58" s="2" t="s">
        <v>12</v>
      </c>
      <c r="K58" s="3">
        <v>45503</v>
      </c>
      <c r="L58" s="3">
        <v>45504</v>
      </c>
      <c r="M58" s="4" t="s">
        <v>12</v>
      </c>
      <c r="N58" s="4">
        <v>8.6370000000000005</v>
      </c>
      <c r="O58" s="4">
        <v>20.687000000000001</v>
      </c>
      <c r="P58" t="s">
        <v>31</v>
      </c>
    </row>
    <row r="59" spans="1:18" x14ac:dyDescent="0.2">
      <c r="A59" s="2">
        <v>3</v>
      </c>
      <c r="B59" s="2" t="s">
        <v>6</v>
      </c>
      <c r="C59" s="2">
        <v>1</v>
      </c>
      <c r="D59" s="2" t="s">
        <v>43</v>
      </c>
      <c r="E59" s="2">
        <f t="shared" si="4"/>
        <v>16.619025137490002</v>
      </c>
      <c r="F59" s="2">
        <v>14.5</v>
      </c>
      <c r="G59" s="2">
        <v>19.5</v>
      </c>
      <c r="H59" s="2">
        <v>0</v>
      </c>
      <c r="I59" s="2">
        <f t="shared" si="3"/>
        <v>34</v>
      </c>
      <c r="J59" s="2" t="s">
        <v>12</v>
      </c>
      <c r="K59" s="3">
        <v>45504</v>
      </c>
      <c r="L59" s="3">
        <v>45504</v>
      </c>
      <c r="M59" s="4">
        <v>1.7649999999999999</v>
      </c>
      <c r="N59" s="4">
        <v>1.137</v>
      </c>
      <c r="O59" s="4">
        <v>182.02600000000001</v>
      </c>
    </row>
    <row r="60" spans="1:18" x14ac:dyDescent="0.2">
      <c r="A60" s="2">
        <v>3</v>
      </c>
      <c r="B60" s="2" t="s">
        <v>6</v>
      </c>
      <c r="C60" s="2">
        <v>2</v>
      </c>
      <c r="D60" s="2" t="s">
        <v>43</v>
      </c>
      <c r="E60" s="2">
        <f t="shared" si="4"/>
        <v>16.619025137490002</v>
      </c>
      <c r="F60" s="2">
        <v>9</v>
      </c>
      <c r="G60" s="2">
        <v>36</v>
      </c>
      <c r="H60" s="2">
        <v>0</v>
      </c>
      <c r="I60" s="2">
        <f t="shared" si="3"/>
        <v>45</v>
      </c>
      <c r="J60" s="2" t="s">
        <v>12</v>
      </c>
      <c r="K60" s="3">
        <v>45504</v>
      </c>
      <c r="L60" s="3">
        <v>45504</v>
      </c>
      <c r="M60" s="4">
        <v>1.101</v>
      </c>
      <c r="N60" s="4">
        <v>9.3680000000000003</v>
      </c>
      <c r="O60" s="4">
        <v>222.03399999999999</v>
      </c>
    </row>
    <row r="61" spans="1:18" x14ac:dyDescent="0.2">
      <c r="A61" s="2">
        <v>3</v>
      </c>
      <c r="B61" s="2" t="s">
        <v>6</v>
      </c>
      <c r="C61" s="2">
        <v>3</v>
      </c>
      <c r="D61" s="2" t="s">
        <v>43</v>
      </c>
      <c r="E61" s="2">
        <f t="shared" si="4"/>
        <v>16.619025137490002</v>
      </c>
      <c r="F61" s="2">
        <v>15</v>
      </c>
      <c r="G61" s="2">
        <v>31</v>
      </c>
      <c r="H61" s="2">
        <v>0</v>
      </c>
      <c r="I61" s="2">
        <f t="shared" si="3"/>
        <v>46</v>
      </c>
      <c r="J61" s="2" t="s">
        <v>12</v>
      </c>
      <c r="K61" s="3">
        <v>45504</v>
      </c>
      <c r="L61" s="3">
        <v>45504</v>
      </c>
      <c r="M61" s="4">
        <v>0.71299999999999997</v>
      </c>
      <c r="N61" s="4">
        <v>17.010999999999999</v>
      </c>
      <c r="O61" s="4">
        <v>128.166</v>
      </c>
    </row>
    <row r="62" spans="1:18" x14ac:dyDescent="0.2">
      <c r="A62" s="2">
        <v>3</v>
      </c>
      <c r="B62" s="2" t="s">
        <v>6</v>
      </c>
      <c r="C62" s="2">
        <v>4</v>
      </c>
      <c r="D62" s="2" t="s">
        <v>43</v>
      </c>
      <c r="E62" s="2">
        <f t="shared" si="4"/>
        <v>16.619025137490002</v>
      </c>
      <c r="F62" s="2">
        <v>7</v>
      </c>
      <c r="G62" s="2">
        <v>44</v>
      </c>
      <c r="H62" s="2">
        <v>0</v>
      </c>
      <c r="I62" s="2">
        <f t="shared" si="3"/>
        <v>51</v>
      </c>
      <c r="J62" s="2" t="s">
        <v>12</v>
      </c>
      <c r="K62" s="3">
        <v>45504</v>
      </c>
      <c r="L62" s="3">
        <v>45504</v>
      </c>
    </row>
    <row r="63" spans="1:18" x14ac:dyDescent="0.2">
      <c r="A63" s="2">
        <v>3</v>
      </c>
      <c r="B63" s="2" t="s">
        <v>7</v>
      </c>
      <c r="C63" s="2">
        <v>1</v>
      </c>
      <c r="D63" s="2" t="s">
        <v>43</v>
      </c>
      <c r="E63" s="2">
        <f t="shared" si="4"/>
        <v>16.619025137490002</v>
      </c>
      <c r="F63" s="2">
        <v>12.5</v>
      </c>
      <c r="G63" s="2" t="s">
        <v>12</v>
      </c>
      <c r="H63" s="2">
        <v>0</v>
      </c>
      <c r="I63" s="2">
        <f t="shared" si="3"/>
        <v>12.5</v>
      </c>
      <c r="J63" s="2">
        <v>2.5</v>
      </c>
      <c r="K63" s="3">
        <v>45504</v>
      </c>
      <c r="L63" s="3">
        <v>45504</v>
      </c>
      <c r="M63" s="4">
        <v>0.89300000000000002</v>
      </c>
      <c r="N63" s="4">
        <v>8.2449999999999992</v>
      </c>
      <c r="O63" s="4" t="s">
        <v>12</v>
      </c>
      <c r="P63" t="s">
        <v>22</v>
      </c>
    </row>
    <row r="64" spans="1:18" x14ac:dyDescent="0.2">
      <c r="A64" s="2">
        <v>3</v>
      </c>
      <c r="B64" s="2" t="s">
        <v>7</v>
      </c>
      <c r="C64" s="2">
        <v>2</v>
      </c>
      <c r="D64" s="2" t="s">
        <v>43</v>
      </c>
      <c r="E64" s="2">
        <f t="shared" si="4"/>
        <v>16.619025137490002</v>
      </c>
      <c r="F64" s="2">
        <v>9</v>
      </c>
      <c r="G64" s="2">
        <v>32</v>
      </c>
      <c r="H64" s="2">
        <v>0</v>
      </c>
      <c r="I64" s="2">
        <f t="shared" si="3"/>
        <v>41</v>
      </c>
      <c r="J64" s="2" t="s">
        <v>12</v>
      </c>
      <c r="K64" s="3">
        <v>45504</v>
      </c>
      <c r="L64" s="3">
        <v>45504</v>
      </c>
      <c r="M64" s="4">
        <v>0.30199999999999999</v>
      </c>
      <c r="N64" s="4">
        <v>13.583</v>
      </c>
      <c r="O64" s="4">
        <v>325.31299999999999</v>
      </c>
    </row>
    <row r="65" spans="1:18" x14ac:dyDescent="0.2">
      <c r="A65" s="2">
        <v>3</v>
      </c>
      <c r="B65" s="2" t="s">
        <v>7</v>
      </c>
      <c r="C65" s="2">
        <v>3</v>
      </c>
      <c r="D65" s="2" t="s">
        <v>43</v>
      </c>
      <c r="E65" s="2">
        <f t="shared" si="4"/>
        <v>16.619025137490002</v>
      </c>
      <c r="F65" s="2">
        <v>12</v>
      </c>
      <c r="G65" s="2">
        <v>30</v>
      </c>
      <c r="H65" s="2">
        <v>10</v>
      </c>
      <c r="I65" s="2">
        <f t="shared" si="3"/>
        <v>52</v>
      </c>
      <c r="J65" s="2" t="s">
        <v>12</v>
      </c>
      <c r="K65" s="3">
        <v>45504</v>
      </c>
      <c r="L65" s="3">
        <v>45504</v>
      </c>
      <c r="M65" s="4">
        <v>1.3</v>
      </c>
      <c r="O65" s="4">
        <v>437.79300000000001</v>
      </c>
      <c r="P65" t="s">
        <v>36</v>
      </c>
    </row>
    <row r="66" spans="1:18" x14ac:dyDescent="0.2">
      <c r="A66" s="2">
        <v>3</v>
      </c>
      <c r="B66" s="2" t="s">
        <v>7</v>
      </c>
      <c r="C66" s="2" t="s">
        <v>47</v>
      </c>
      <c r="D66" s="2" t="s">
        <v>43</v>
      </c>
      <c r="E66" s="2">
        <f>PI()*(4.6/2)^2</f>
        <v>16.619025137490002</v>
      </c>
      <c r="F66" s="2">
        <v>6</v>
      </c>
      <c r="G66" s="2">
        <v>27</v>
      </c>
      <c r="H66" s="2">
        <v>0</v>
      </c>
      <c r="I66" s="2">
        <f>SUM(F66:H66)</f>
        <v>33</v>
      </c>
      <c r="J66" s="2" t="s">
        <v>12</v>
      </c>
      <c r="K66" s="3">
        <v>45504</v>
      </c>
      <c r="L66" s="3">
        <v>45504</v>
      </c>
      <c r="P66" t="s">
        <v>38</v>
      </c>
      <c r="Q66" s="1"/>
      <c r="R66" s="1"/>
    </row>
    <row r="67" spans="1:18" x14ac:dyDescent="0.2">
      <c r="A67" s="2">
        <v>3</v>
      </c>
      <c r="B67" s="2" t="s">
        <v>7</v>
      </c>
      <c r="C67" s="2">
        <v>4</v>
      </c>
      <c r="D67" s="2" t="s">
        <v>43</v>
      </c>
      <c r="E67" s="2">
        <f>PI()*(4.6/2)^2</f>
        <v>16.619025137490002</v>
      </c>
      <c r="F67" s="2">
        <v>10</v>
      </c>
      <c r="G67" s="2">
        <v>18.5</v>
      </c>
      <c r="H67" s="2">
        <v>0</v>
      </c>
      <c r="I67" s="2">
        <f>SUM(F67:H67)</f>
        <v>28.5</v>
      </c>
      <c r="J67" s="2" t="s">
        <v>12</v>
      </c>
      <c r="K67" s="3">
        <v>45505</v>
      </c>
      <c r="L67" s="3">
        <v>45505</v>
      </c>
      <c r="M67" s="4">
        <v>0.46</v>
      </c>
      <c r="N67" s="4">
        <v>15.419</v>
      </c>
      <c r="O67" s="4">
        <v>148.50800000000001</v>
      </c>
      <c r="P67" s="1"/>
      <c r="Q67" s="1"/>
      <c r="R67" s="1"/>
    </row>
    <row r="68" spans="1:18" x14ac:dyDescent="0.2">
      <c r="A68" s="2">
        <v>3</v>
      </c>
      <c r="B68" s="2" t="s">
        <v>8</v>
      </c>
      <c r="C68" s="2">
        <v>1</v>
      </c>
      <c r="D68" s="2" t="s">
        <v>43</v>
      </c>
      <c r="E68" s="2">
        <f t="shared" si="4"/>
        <v>16.619025137490002</v>
      </c>
      <c r="F68" s="2">
        <v>9</v>
      </c>
      <c r="G68" s="2">
        <v>27</v>
      </c>
      <c r="H68" s="2">
        <v>0</v>
      </c>
      <c r="I68" s="2">
        <f t="shared" si="3"/>
        <v>36</v>
      </c>
      <c r="J68" s="2" t="s">
        <v>12</v>
      </c>
      <c r="K68" s="3">
        <v>45504</v>
      </c>
      <c r="L68" s="3">
        <v>45504</v>
      </c>
      <c r="M68" s="4">
        <v>0.01</v>
      </c>
      <c r="N68" s="4">
        <v>28.154</v>
      </c>
      <c r="O68" s="4">
        <v>191.363</v>
      </c>
    </row>
    <row r="69" spans="1:18" x14ac:dyDescent="0.2">
      <c r="A69" s="2">
        <v>3</v>
      </c>
      <c r="B69" s="2" t="s">
        <v>8</v>
      </c>
      <c r="C69" s="2">
        <v>2</v>
      </c>
      <c r="D69" s="2" t="s">
        <v>43</v>
      </c>
      <c r="E69" s="2">
        <f t="shared" si="4"/>
        <v>16.619025137490002</v>
      </c>
      <c r="F69" s="2">
        <v>5</v>
      </c>
      <c r="G69" s="2">
        <v>25.5</v>
      </c>
      <c r="H69" s="2">
        <v>0</v>
      </c>
      <c r="I69" s="2">
        <f t="shared" ref="I69:I84" si="5">SUM(F69:H69)</f>
        <v>30.5</v>
      </c>
      <c r="J69" s="2" t="s">
        <v>12</v>
      </c>
      <c r="K69" s="3">
        <v>45504</v>
      </c>
      <c r="L69" s="3">
        <v>45504</v>
      </c>
      <c r="M69" s="4">
        <v>0.13300000000000001</v>
      </c>
      <c r="N69" s="4">
        <v>17.739000000000001</v>
      </c>
      <c r="O69" s="4">
        <v>117.55800000000001</v>
      </c>
    </row>
    <row r="70" spans="1:18" x14ac:dyDescent="0.2">
      <c r="A70" s="2">
        <v>3</v>
      </c>
      <c r="B70" s="2" t="s">
        <v>8</v>
      </c>
      <c r="C70" s="2">
        <v>3</v>
      </c>
      <c r="D70" s="2" t="s">
        <v>43</v>
      </c>
      <c r="E70" s="2">
        <f t="shared" si="4"/>
        <v>16.619025137490002</v>
      </c>
      <c r="F70" s="2">
        <v>12</v>
      </c>
      <c r="G70" s="2">
        <v>21.5</v>
      </c>
      <c r="H70" s="2">
        <v>0</v>
      </c>
      <c r="I70" s="2">
        <f t="shared" si="5"/>
        <v>33.5</v>
      </c>
      <c r="J70" s="2">
        <v>2.5</v>
      </c>
      <c r="K70" s="3">
        <v>45504</v>
      </c>
      <c r="L70" s="3">
        <v>45504</v>
      </c>
      <c r="M70" s="4">
        <v>0.42799999999999999</v>
      </c>
      <c r="N70" s="4">
        <v>11.64</v>
      </c>
      <c r="O70" s="4">
        <v>67.912000000000006</v>
      </c>
      <c r="P70" t="s">
        <v>21</v>
      </c>
    </row>
    <row r="71" spans="1:18" x14ac:dyDescent="0.2">
      <c r="A71" s="2">
        <v>3</v>
      </c>
      <c r="B71" s="2" t="s">
        <v>8</v>
      </c>
      <c r="C71" s="2">
        <v>4</v>
      </c>
      <c r="D71" s="2" t="s">
        <v>43</v>
      </c>
      <c r="E71" s="2">
        <f t="shared" si="4"/>
        <v>16.619025137490002</v>
      </c>
      <c r="F71" s="2">
        <v>10.5</v>
      </c>
      <c r="G71" s="2">
        <v>21</v>
      </c>
      <c r="H71" s="2">
        <v>0</v>
      </c>
      <c r="I71" s="2">
        <f t="shared" si="5"/>
        <v>31.5</v>
      </c>
      <c r="J71" s="2" t="s">
        <v>12</v>
      </c>
      <c r="K71" s="3">
        <v>45504</v>
      </c>
      <c r="L71" s="3">
        <v>45504</v>
      </c>
      <c r="M71" s="4">
        <v>7.3999999999999996E-2</v>
      </c>
      <c r="N71" s="4">
        <v>11.022</v>
      </c>
      <c r="O71" s="4">
        <v>48.811999999999998</v>
      </c>
    </row>
    <row r="72" spans="1:18" x14ac:dyDescent="0.2">
      <c r="A72" s="2">
        <v>3</v>
      </c>
      <c r="B72" s="2" t="s">
        <v>9</v>
      </c>
      <c r="C72" s="2">
        <v>1</v>
      </c>
      <c r="D72" s="2" t="s">
        <v>43</v>
      </c>
      <c r="E72" s="2">
        <f t="shared" si="4"/>
        <v>16.619025137490002</v>
      </c>
      <c r="F72" s="2">
        <v>4</v>
      </c>
      <c r="G72" s="2">
        <v>28</v>
      </c>
      <c r="H72" s="2">
        <v>0</v>
      </c>
      <c r="I72" s="2">
        <f t="shared" si="5"/>
        <v>32</v>
      </c>
      <c r="J72" s="2" t="s">
        <v>12</v>
      </c>
      <c r="K72" s="3">
        <v>45504</v>
      </c>
      <c r="L72" s="3">
        <v>45504</v>
      </c>
      <c r="M72" s="4">
        <v>0.156</v>
      </c>
      <c r="N72" s="4">
        <v>22.41</v>
      </c>
      <c r="O72" s="4">
        <v>480.90199999999999</v>
      </c>
    </row>
    <row r="73" spans="1:18" x14ac:dyDescent="0.2">
      <c r="A73" s="2">
        <v>3</v>
      </c>
      <c r="B73" s="2" t="s">
        <v>9</v>
      </c>
      <c r="C73" s="2">
        <v>2</v>
      </c>
      <c r="D73" s="2" t="s">
        <v>43</v>
      </c>
      <c r="E73" s="2">
        <f t="shared" si="4"/>
        <v>16.619025137490002</v>
      </c>
      <c r="F73" s="2">
        <v>8</v>
      </c>
      <c r="G73" s="2">
        <v>39.5</v>
      </c>
      <c r="H73" s="2">
        <v>0</v>
      </c>
      <c r="I73" s="2">
        <f t="shared" si="5"/>
        <v>47.5</v>
      </c>
      <c r="J73" s="2" t="s">
        <v>12</v>
      </c>
      <c r="K73" s="3">
        <v>45504</v>
      </c>
      <c r="L73" s="3">
        <v>45504</v>
      </c>
      <c r="M73" s="4">
        <v>0.59199999999999997</v>
      </c>
      <c r="N73" s="4">
        <v>115.22199999999999</v>
      </c>
      <c r="O73" s="4">
        <v>543.03599999999994</v>
      </c>
    </row>
    <row r="74" spans="1:18" x14ac:dyDescent="0.2">
      <c r="A74" s="2">
        <v>3</v>
      </c>
      <c r="B74" s="2" t="s">
        <v>9</v>
      </c>
      <c r="C74" s="2">
        <v>3</v>
      </c>
      <c r="D74" s="2" t="s">
        <v>43</v>
      </c>
      <c r="E74" s="2">
        <f t="shared" si="4"/>
        <v>16.619025137490002</v>
      </c>
      <c r="F74" s="2">
        <v>3</v>
      </c>
      <c r="G74" s="2">
        <v>34.5</v>
      </c>
      <c r="H74" s="2">
        <v>33.5</v>
      </c>
      <c r="I74" s="2">
        <f t="shared" si="5"/>
        <v>71</v>
      </c>
      <c r="J74" s="2" t="s">
        <v>12</v>
      </c>
      <c r="K74" s="3">
        <v>45504</v>
      </c>
      <c r="L74" s="3">
        <v>45504</v>
      </c>
      <c r="M74" s="4">
        <v>0.27700000000000002</v>
      </c>
      <c r="N74" s="4">
        <v>17.870999999999999</v>
      </c>
      <c r="O74" s="4">
        <v>516.38</v>
      </c>
      <c r="P74" t="s">
        <v>20</v>
      </c>
    </row>
    <row r="75" spans="1:18" x14ac:dyDescent="0.2">
      <c r="A75" s="2">
        <v>3</v>
      </c>
      <c r="B75" s="2" t="s">
        <v>9</v>
      </c>
      <c r="C75" s="2">
        <v>4</v>
      </c>
      <c r="D75" s="2" t="s">
        <v>43</v>
      </c>
      <c r="E75" s="2">
        <f t="shared" si="4"/>
        <v>16.619025137490002</v>
      </c>
      <c r="F75" s="2">
        <v>5</v>
      </c>
      <c r="G75" s="2">
        <v>28</v>
      </c>
      <c r="H75" s="2">
        <v>28</v>
      </c>
      <c r="I75" s="2">
        <f t="shared" si="5"/>
        <v>61</v>
      </c>
      <c r="J75" s="2" t="s">
        <v>12</v>
      </c>
      <c r="K75" s="3">
        <v>45504</v>
      </c>
      <c r="L75" s="3">
        <v>45504</v>
      </c>
      <c r="M75" s="4">
        <v>0.48799999999999999</v>
      </c>
      <c r="N75" s="4">
        <v>9.2289999999999992</v>
      </c>
      <c r="O75" s="4">
        <v>56.417000000000002</v>
      </c>
      <c r="P75" t="s">
        <v>19</v>
      </c>
    </row>
    <row r="76" spans="1:18" x14ac:dyDescent="0.2">
      <c r="A76" s="2">
        <v>3</v>
      </c>
      <c r="B76" s="2" t="s">
        <v>10</v>
      </c>
      <c r="C76" s="2">
        <v>1</v>
      </c>
      <c r="D76" s="2" t="s">
        <v>43</v>
      </c>
      <c r="E76" s="2">
        <f t="shared" si="4"/>
        <v>16.619025137490002</v>
      </c>
      <c r="F76" s="2">
        <v>22</v>
      </c>
      <c r="G76" s="2">
        <v>13</v>
      </c>
      <c r="H76" s="2">
        <v>0</v>
      </c>
      <c r="I76" s="2">
        <f t="shared" si="5"/>
        <v>35</v>
      </c>
      <c r="J76" s="2" t="s">
        <v>12</v>
      </c>
      <c r="K76" s="3">
        <v>45504</v>
      </c>
      <c r="L76" s="3">
        <v>45504</v>
      </c>
      <c r="M76" s="4">
        <v>0.122</v>
      </c>
      <c r="N76" s="4">
        <v>13.566000000000001</v>
      </c>
      <c r="O76" s="4">
        <v>198.07599999999999</v>
      </c>
    </row>
    <row r="77" spans="1:18" x14ac:dyDescent="0.2">
      <c r="A77" s="2">
        <v>3</v>
      </c>
      <c r="B77" s="2" t="s">
        <v>10</v>
      </c>
      <c r="C77" s="2">
        <v>2</v>
      </c>
      <c r="D77" s="2" t="s">
        <v>43</v>
      </c>
      <c r="E77" s="2">
        <f t="shared" si="4"/>
        <v>16.619025137490002</v>
      </c>
      <c r="F77" s="2">
        <v>15</v>
      </c>
      <c r="G77" s="2">
        <v>18</v>
      </c>
      <c r="H77" s="2">
        <v>0</v>
      </c>
      <c r="I77" s="2">
        <f t="shared" si="5"/>
        <v>33</v>
      </c>
      <c r="J77" s="2" t="s">
        <v>12</v>
      </c>
      <c r="K77" s="3">
        <v>45504</v>
      </c>
      <c r="L77" s="3">
        <v>45504</v>
      </c>
      <c r="M77" s="4">
        <v>1.2999999999999999E-2</v>
      </c>
      <c r="N77" s="4">
        <v>23.227</v>
      </c>
      <c r="O77" s="4">
        <v>206.79499999999999</v>
      </c>
    </row>
    <row r="78" spans="1:18" x14ac:dyDescent="0.2">
      <c r="A78" s="2">
        <v>3</v>
      </c>
      <c r="B78" s="2" t="s">
        <v>10</v>
      </c>
      <c r="C78" s="2">
        <v>3</v>
      </c>
      <c r="D78" s="2" t="s">
        <v>43</v>
      </c>
      <c r="E78" s="2">
        <f t="shared" si="4"/>
        <v>16.619025137490002</v>
      </c>
      <c r="F78" s="2">
        <v>10</v>
      </c>
      <c r="G78" s="2">
        <v>21.5</v>
      </c>
      <c r="H78" s="2">
        <v>0</v>
      </c>
      <c r="I78" s="2">
        <f t="shared" si="5"/>
        <v>31.5</v>
      </c>
      <c r="J78" s="2">
        <v>6.5</v>
      </c>
      <c r="K78" s="3">
        <v>45504</v>
      </c>
      <c r="L78" s="3">
        <v>45504</v>
      </c>
      <c r="M78" s="4">
        <v>0.255</v>
      </c>
      <c r="N78" s="4">
        <v>14.881</v>
      </c>
      <c r="O78" s="4">
        <v>292.815</v>
      </c>
      <c r="P78" t="s">
        <v>17</v>
      </c>
    </row>
    <row r="79" spans="1:18" x14ac:dyDescent="0.2">
      <c r="A79" s="2">
        <v>3</v>
      </c>
      <c r="B79" s="2" t="s">
        <v>10</v>
      </c>
      <c r="C79" s="2" t="s">
        <v>58</v>
      </c>
      <c r="D79" s="2" t="s">
        <v>43</v>
      </c>
      <c r="E79" s="2">
        <f t="shared" si="4"/>
        <v>16.619025137490002</v>
      </c>
      <c r="F79" s="2">
        <v>14</v>
      </c>
      <c r="G79" s="2">
        <v>42</v>
      </c>
      <c r="H79" s="2">
        <v>0</v>
      </c>
      <c r="I79" s="2">
        <f t="shared" si="5"/>
        <v>56</v>
      </c>
      <c r="J79" s="2" t="s">
        <v>12</v>
      </c>
      <c r="K79" s="3">
        <v>45504</v>
      </c>
      <c r="L79" s="3">
        <v>45504</v>
      </c>
      <c r="M79" s="4">
        <v>1.373</v>
      </c>
      <c r="N79" s="4">
        <v>30.024000000000001</v>
      </c>
      <c r="O79" s="4">
        <v>374.38</v>
      </c>
      <c r="P79" t="s">
        <v>61</v>
      </c>
    </row>
    <row r="80" spans="1:18" x14ac:dyDescent="0.2">
      <c r="A80" s="2">
        <v>3</v>
      </c>
      <c r="B80" s="2" t="s">
        <v>10</v>
      </c>
      <c r="C80" s="2" t="s">
        <v>59</v>
      </c>
      <c r="K80" s="3"/>
      <c r="L80" s="3"/>
      <c r="M80" s="4">
        <v>0.438</v>
      </c>
      <c r="N80" s="4">
        <v>13.973000000000001</v>
      </c>
      <c r="O80" s="4">
        <v>130.35499999999999</v>
      </c>
      <c r="P80" t="s">
        <v>60</v>
      </c>
    </row>
    <row r="81" spans="1:16" x14ac:dyDescent="0.2">
      <c r="A81" s="2">
        <v>3</v>
      </c>
      <c r="B81" s="2" t="s">
        <v>11</v>
      </c>
      <c r="C81" s="2">
        <v>1</v>
      </c>
      <c r="D81" s="2" t="s">
        <v>43</v>
      </c>
      <c r="E81" s="2">
        <f t="shared" si="4"/>
        <v>16.619025137490002</v>
      </c>
      <c r="F81" s="2">
        <v>18</v>
      </c>
      <c r="G81" s="2">
        <v>14</v>
      </c>
      <c r="H81" s="2">
        <v>0</v>
      </c>
      <c r="I81" s="2">
        <f t="shared" si="5"/>
        <v>32</v>
      </c>
      <c r="J81" s="2" t="s">
        <v>12</v>
      </c>
      <c r="K81" s="3">
        <v>45504</v>
      </c>
      <c r="L81" s="3">
        <v>45504</v>
      </c>
      <c r="M81" s="4">
        <v>2.5000000000000001E-2</v>
      </c>
      <c r="N81" s="4">
        <v>11.11</v>
      </c>
      <c r="O81" s="4">
        <v>50.116</v>
      </c>
    </row>
    <row r="82" spans="1:16" x14ac:dyDescent="0.2">
      <c r="A82" s="2">
        <v>3</v>
      </c>
      <c r="B82" s="2" t="s">
        <v>11</v>
      </c>
      <c r="C82" s="2">
        <v>2</v>
      </c>
      <c r="D82" s="2" t="s">
        <v>43</v>
      </c>
      <c r="E82" s="2">
        <f t="shared" si="4"/>
        <v>16.619025137490002</v>
      </c>
      <c r="F82" s="2">
        <v>10</v>
      </c>
      <c r="G82" s="2">
        <v>26</v>
      </c>
      <c r="H82" s="2">
        <v>0</v>
      </c>
      <c r="I82" s="2">
        <f t="shared" si="5"/>
        <v>36</v>
      </c>
      <c r="J82" s="2" t="s">
        <v>12</v>
      </c>
      <c r="K82" s="3">
        <v>45504</v>
      </c>
      <c r="L82" s="3">
        <v>45504</v>
      </c>
      <c r="M82" s="4">
        <v>1.2E-2</v>
      </c>
      <c r="N82" s="4">
        <v>12.26</v>
      </c>
      <c r="O82" s="4">
        <v>251.40100000000001</v>
      </c>
    </row>
    <row r="83" spans="1:16" x14ac:dyDescent="0.2">
      <c r="A83" s="2">
        <v>3</v>
      </c>
      <c r="B83" s="2" t="s">
        <v>11</v>
      </c>
      <c r="C83" s="2">
        <v>3</v>
      </c>
      <c r="D83" s="2" t="s">
        <v>43</v>
      </c>
      <c r="E83" s="2">
        <f t="shared" si="4"/>
        <v>16.619025137490002</v>
      </c>
      <c r="F83" s="2">
        <v>11.5</v>
      </c>
      <c r="G83" s="2">
        <v>21.5</v>
      </c>
      <c r="H83" s="2">
        <v>0</v>
      </c>
      <c r="I83" s="2">
        <f t="shared" si="5"/>
        <v>33</v>
      </c>
      <c r="J83" s="2" t="s">
        <v>12</v>
      </c>
      <c r="K83" s="3">
        <v>45504</v>
      </c>
      <c r="L83" s="3">
        <v>45504</v>
      </c>
      <c r="M83" s="4">
        <v>0.876</v>
      </c>
      <c r="N83" s="4">
        <v>22.774999999999999</v>
      </c>
      <c r="O83" s="4">
        <v>101.26300000000001</v>
      </c>
    </row>
    <row r="84" spans="1:16" x14ac:dyDescent="0.2">
      <c r="A84" s="2">
        <v>3</v>
      </c>
      <c r="B84" s="2" t="s">
        <v>11</v>
      </c>
      <c r="C84" s="2">
        <v>4</v>
      </c>
      <c r="D84" s="2" t="s">
        <v>43</v>
      </c>
      <c r="E84" s="2">
        <f t="shared" si="4"/>
        <v>16.619025137490002</v>
      </c>
      <c r="F84" s="2">
        <v>16</v>
      </c>
      <c r="G84" s="2">
        <v>26</v>
      </c>
      <c r="H84" s="2">
        <v>0</v>
      </c>
      <c r="I84" s="2">
        <f t="shared" si="5"/>
        <v>42</v>
      </c>
      <c r="J84" s="2">
        <v>4</v>
      </c>
      <c r="K84" s="3">
        <v>45504</v>
      </c>
      <c r="L84" s="3">
        <v>45504</v>
      </c>
      <c r="M84" s="4">
        <v>0.16500000000000001</v>
      </c>
      <c r="N84" s="4">
        <v>15.99</v>
      </c>
      <c r="O84" s="4">
        <v>152.36500000000001</v>
      </c>
      <c r="P84" t="s">
        <v>18</v>
      </c>
    </row>
  </sheetData>
  <sortState xmlns:xlrd2="http://schemas.microsoft.com/office/spreadsheetml/2017/richdata2" ref="A2:P79">
    <sortCondition ref="D2:D79"/>
    <sortCondition ref="A2:A79"/>
    <sortCondition ref="B2:B79"/>
    <sortCondition ref="C2:C79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Duncan Menge</dc:creator>
  <cp:lastModifiedBy>jim2137</cp:lastModifiedBy>
  <dcterms:created xsi:type="dcterms:W3CDTF">2024-07-27T20:54:34Z</dcterms:created>
  <dcterms:modified xsi:type="dcterms:W3CDTF">2024-08-17T22:23:01Z</dcterms:modified>
</cp:coreProperties>
</file>