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ter/Library/CloudStorage/Box-Box/ARC LTER 7 (Terrestrial)/Pluck 2024/Data/Belowground/"/>
    </mc:Choice>
  </mc:AlternateContent>
  <xr:revisionPtr revIDLastSave="0" documentId="13_ncr:1_{BFB68DBB-0871-144A-900B-8DE32913DBDB}" xr6:coauthVersionLast="47" xr6:coauthVersionMax="47" xr10:uidLastSave="{00000000-0000-0000-0000-000000000000}"/>
  <bookViews>
    <workbookView xWindow="1380" yWindow="2700" windowWidth="33680" windowHeight="15540" xr2:uid="{72D2D537-7AD2-4E44-8C7F-908269E7D6D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7" i="1" l="1"/>
  <c r="M147" i="1"/>
  <c r="K147" i="1"/>
  <c r="I147" i="1"/>
  <c r="E41" i="1"/>
  <c r="E39" i="1"/>
  <c r="E37" i="1"/>
  <c r="E35" i="1"/>
  <c r="E33" i="1"/>
  <c r="E31" i="1"/>
  <c r="E29" i="1"/>
  <c r="E27" i="1"/>
  <c r="E25" i="1"/>
  <c r="E23" i="1"/>
  <c r="E21" i="1"/>
  <c r="E19" i="1"/>
  <c r="E9" i="1"/>
  <c r="E7" i="1"/>
  <c r="E5" i="1"/>
  <c r="E3" i="1"/>
  <c r="E49" i="1"/>
  <c r="E47" i="1"/>
  <c r="E45" i="1"/>
  <c r="E43" i="1"/>
  <c r="E17" i="1"/>
  <c r="E15" i="1"/>
  <c r="E13" i="1"/>
  <c r="E11" i="1"/>
</calcChain>
</file>

<file path=xl/sharedStrings.xml><?xml version="1.0" encoding="utf-8"?>
<sst xmlns="http://schemas.openxmlformats.org/spreadsheetml/2006/main" count="598" uniqueCount="31">
  <si>
    <t>Block</t>
  </si>
  <si>
    <t>Treatment</t>
  </si>
  <si>
    <t>Quad</t>
  </si>
  <si>
    <t>Horizon</t>
  </si>
  <si>
    <t>Core_surface_area_cm2</t>
  </si>
  <si>
    <t>Depth_cm</t>
  </si>
  <si>
    <t>Date_collected</t>
  </si>
  <si>
    <t>Date_sorted</t>
  </si>
  <si>
    <t>Fine_root_bag_number</t>
  </si>
  <si>
    <t>Fine_root_mass_g</t>
  </si>
  <si>
    <t>Coarse_root_bag_number</t>
  </si>
  <si>
    <t>Coarse_root_mass_g</t>
  </si>
  <si>
    <t>Erivag_root_bag_number</t>
  </si>
  <si>
    <t>Erivag_root_mass_g</t>
  </si>
  <si>
    <t>Root_notes</t>
  </si>
  <si>
    <t>CT</t>
  </si>
  <si>
    <t>O</t>
  </si>
  <si>
    <t>NA</t>
  </si>
  <si>
    <t>M</t>
  </si>
  <si>
    <t>NA depth means permafrost was in organic layer</t>
  </si>
  <si>
    <t>F0.5</t>
  </si>
  <si>
    <t>First with new corer diameter; this corer diameter for every subsequent one</t>
  </si>
  <si>
    <t>Bag number is not a mistake. 55 and 58 should be in this order</t>
  </si>
  <si>
    <t>F1</t>
  </si>
  <si>
    <t>Sorting date listed as 7/25/2024 on the fine root bag but 7/26/2024 on the Erivag root bag</t>
  </si>
  <si>
    <t>F2</t>
  </si>
  <si>
    <t>F5</t>
  </si>
  <si>
    <t>F10</t>
  </si>
  <si>
    <t>Frost boil</t>
  </si>
  <si>
    <t>Corer not long enough to reach permafrost</t>
  </si>
  <si>
    <t>Large fine and all coarse roots are questionably 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</si>
</sst>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C312-FC4B-9243-B034-B0BC6295EC77}">
  <dimension ref="A1:O147"/>
  <sheetViews>
    <sheetView tabSelected="1" topLeftCell="A130" zoomScale="150" zoomScaleNormal="150" workbookViewId="0">
      <selection activeCell="H148" sqref="H148"/>
    </sheetView>
  </sheetViews>
  <sheetFormatPr baseColWidth="10" defaultColWidth="11" defaultRowHeight="16" x14ac:dyDescent="0.2"/>
  <cols>
    <col min="5" max="5" width="6" customWidth="1"/>
    <col min="6" max="6" width="9.5" bestFit="1" customWidth="1"/>
    <col min="7" max="7" width="12.83203125" bestFit="1" customWidth="1"/>
    <col min="9" max="9" width="6.83203125" customWidth="1"/>
    <col min="10" max="10" width="16.5" style="2" bestFit="1" customWidth="1"/>
    <col min="11" max="11" width="7.33203125" customWidth="1"/>
    <col min="12" max="12" width="18.5" style="2" bestFit="1" customWidth="1"/>
    <col min="13" max="13" width="6.6640625" customWidth="1"/>
    <col min="14" max="14" width="18" style="2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s="2" t="s">
        <v>11</v>
      </c>
      <c r="M1" t="s">
        <v>12</v>
      </c>
      <c r="N1" s="2" t="s">
        <v>13</v>
      </c>
      <c r="O1" t="s">
        <v>14</v>
      </c>
    </row>
    <row r="2" spans="1:15" x14ac:dyDescent="0.2">
      <c r="A2">
        <v>1</v>
      </c>
      <c r="B2" t="s">
        <v>15</v>
      </c>
      <c r="C2">
        <v>1</v>
      </c>
      <c r="D2" t="s">
        <v>16</v>
      </c>
      <c r="E2">
        <v>25</v>
      </c>
      <c r="F2">
        <v>4.5</v>
      </c>
      <c r="G2" s="1">
        <v>45497</v>
      </c>
      <c r="H2" s="1">
        <v>45498</v>
      </c>
      <c r="I2">
        <v>1</v>
      </c>
      <c r="J2" s="2">
        <v>4.9000000000000002E-2</v>
      </c>
      <c r="K2" t="s">
        <v>17</v>
      </c>
      <c r="L2" s="2">
        <v>0</v>
      </c>
      <c r="M2">
        <v>3</v>
      </c>
      <c r="N2" s="2">
        <v>0.65</v>
      </c>
    </row>
    <row r="3" spans="1:15" x14ac:dyDescent="0.2">
      <c r="A3">
        <v>1</v>
      </c>
      <c r="B3" t="s">
        <v>15</v>
      </c>
      <c r="C3">
        <v>1</v>
      </c>
      <c r="D3" t="s">
        <v>18</v>
      </c>
      <c r="E3">
        <f>(4.5/2)^2*PI()</f>
        <v>15.904312808798327</v>
      </c>
      <c r="F3">
        <v>18</v>
      </c>
      <c r="G3" s="1">
        <v>45497</v>
      </c>
      <c r="H3" s="1">
        <v>45498</v>
      </c>
      <c r="I3">
        <v>4</v>
      </c>
      <c r="J3" s="2">
        <v>0.22</v>
      </c>
      <c r="K3" t="s">
        <v>17</v>
      </c>
      <c r="L3" s="2">
        <v>0</v>
      </c>
      <c r="M3">
        <v>6</v>
      </c>
      <c r="N3" s="2">
        <v>0.183</v>
      </c>
    </row>
    <row r="4" spans="1:15" x14ac:dyDescent="0.2">
      <c r="A4">
        <v>1</v>
      </c>
      <c r="B4" t="s">
        <v>15</v>
      </c>
      <c r="C4">
        <v>2</v>
      </c>
      <c r="D4" t="s">
        <v>16</v>
      </c>
      <c r="E4">
        <v>25</v>
      </c>
      <c r="F4">
        <v>13</v>
      </c>
      <c r="G4" s="1">
        <v>45497</v>
      </c>
      <c r="H4" s="1">
        <v>45498</v>
      </c>
      <c r="I4">
        <v>7</v>
      </c>
      <c r="J4" s="2">
        <v>1.554</v>
      </c>
      <c r="K4" t="s">
        <v>17</v>
      </c>
      <c r="L4" s="2">
        <v>0</v>
      </c>
      <c r="M4" t="s">
        <v>17</v>
      </c>
      <c r="N4" s="2">
        <v>0</v>
      </c>
    </row>
    <row r="5" spans="1:15" x14ac:dyDescent="0.2">
      <c r="A5">
        <v>1</v>
      </c>
      <c r="B5" t="s">
        <v>15</v>
      </c>
      <c r="C5">
        <v>2</v>
      </c>
      <c r="D5" t="s">
        <v>18</v>
      </c>
      <c r="E5">
        <f>(4.5/2)^2*PI()</f>
        <v>15.904312808798327</v>
      </c>
      <c r="F5">
        <v>10.5</v>
      </c>
      <c r="G5" s="1">
        <v>45497</v>
      </c>
      <c r="H5" s="1">
        <v>45498</v>
      </c>
      <c r="I5">
        <v>10</v>
      </c>
      <c r="J5" s="2">
        <v>0.30599999999999999</v>
      </c>
      <c r="K5" t="s">
        <v>17</v>
      </c>
      <c r="L5" s="2">
        <v>0</v>
      </c>
      <c r="M5" t="s">
        <v>17</v>
      </c>
      <c r="N5" s="2">
        <v>0</v>
      </c>
    </row>
    <row r="6" spans="1:15" x14ac:dyDescent="0.2">
      <c r="A6">
        <v>1</v>
      </c>
      <c r="B6" t="s">
        <v>15</v>
      </c>
      <c r="C6">
        <v>3</v>
      </c>
      <c r="D6" t="s">
        <v>16</v>
      </c>
      <c r="E6">
        <v>25</v>
      </c>
      <c r="F6">
        <v>23</v>
      </c>
      <c r="G6" s="1">
        <v>45497</v>
      </c>
      <c r="H6" s="1">
        <v>45498</v>
      </c>
      <c r="I6">
        <v>13</v>
      </c>
      <c r="J6" s="2">
        <v>3.7709999999999999</v>
      </c>
      <c r="K6" t="s">
        <v>17</v>
      </c>
      <c r="L6" s="2">
        <v>0</v>
      </c>
      <c r="M6" t="s">
        <v>17</v>
      </c>
      <c r="N6" s="2">
        <v>0</v>
      </c>
    </row>
    <row r="7" spans="1:15" x14ac:dyDescent="0.2">
      <c r="A7">
        <v>1</v>
      </c>
      <c r="B7" t="s">
        <v>15</v>
      </c>
      <c r="C7">
        <v>3</v>
      </c>
      <c r="D7" t="s">
        <v>18</v>
      </c>
      <c r="E7">
        <f>(4.5/2)^2*PI()</f>
        <v>15.904312808798327</v>
      </c>
      <c r="F7" t="s">
        <v>17</v>
      </c>
      <c r="G7" s="1">
        <v>45497</v>
      </c>
      <c r="H7" t="s">
        <v>17</v>
      </c>
      <c r="I7" t="s">
        <v>17</v>
      </c>
      <c r="J7" s="2" t="s">
        <v>17</v>
      </c>
      <c r="K7" t="s">
        <v>17</v>
      </c>
      <c r="L7" s="2" t="s">
        <v>17</v>
      </c>
      <c r="M7" t="s">
        <v>17</v>
      </c>
      <c r="N7" s="2" t="s">
        <v>17</v>
      </c>
      <c r="O7" t="s">
        <v>19</v>
      </c>
    </row>
    <row r="8" spans="1:15" x14ac:dyDescent="0.2">
      <c r="A8">
        <v>1</v>
      </c>
      <c r="B8" t="s">
        <v>15</v>
      </c>
      <c r="C8">
        <v>4</v>
      </c>
      <c r="D8" t="s">
        <v>16</v>
      </c>
      <c r="E8">
        <v>25</v>
      </c>
      <c r="F8">
        <v>13</v>
      </c>
      <c r="G8" s="1">
        <v>45497</v>
      </c>
      <c r="H8" s="1">
        <v>45498</v>
      </c>
      <c r="I8">
        <v>19</v>
      </c>
      <c r="J8" s="2">
        <v>1.9159999999999999</v>
      </c>
      <c r="K8" t="s">
        <v>17</v>
      </c>
      <c r="L8" s="2">
        <v>0</v>
      </c>
      <c r="M8" t="s">
        <v>17</v>
      </c>
      <c r="N8" s="2">
        <v>0</v>
      </c>
    </row>
    <row r="9" spans="1:15" x14ac:dyDescent="0.2">
      <c r="A9">
        <v>1</v>
      </c>
      <c r="B9" t="s">
        <v>15</v>
      </c>
      <c r="C9">
        <v>4</v>
      </c>
      <c r="D9" t="s">
        <v>18</v>
      </c>
      <c r="E9">
        <f>(4.5/2)^2*PI()</f>
        <v>15.904312808798327</v>
      </c>
      <c r="F9">
        <v>10</v>
      </c>
      <c r="G9" s="1">
        <v>45497</v>
      </c>
      <c r="H9" s="1">
        <v>45498</v>
      </c>
      <c r="I9">
        <v>22</v>
      </c>
      <c r="J9" s="2">
        <v>3.6999999999999998E-2</v>
      </c>
      <c r="K9" t="s">
        <v>17</v>
      </c>
      <c r="L9" s="2">
        <v>0</v>
      </c>
      <c r="M9">
        <v>24</v>
      </c>
      <c r="N9" s="2">
        <v>2E-3</v>
      </c>
    </row>
    <row r="10" spans="1:15" x14ac:dyDescent="0.2">
      <c r="A10">
        <v>1</v>
      </c>
      <c r="B10" t="s">
        <v>20</v>
      </c>
      <c r="C10">
        <v>1</v>
      </c>
      <c r="D10" t="s">
        <v>16</v>
      </c>
      <c r="E10">
        <v>25</v>
      </c>
      <c r="F10">
        <v>12.5</v>
      </c>
      <c r="G10" s="1">
        <v>45498</v>
      </c>
      <c r="H10" s="1">
        <v>45498</v>
      </c>
      <c r="I10">
        <v>49</v>
      </c>
      <c r="J10" s="2">
        <v>1.1779999999999999</v>
      </c>
      <c r="K10" t="s">
        <v>17</v>
      </c>
      <c r="L10" s="2">
        <v>0</v>
      </c>
      <c r="M10" t="s">
        <v>17</v>
      </c>
      <c r="N10" s="2">
        <v>0</v>
      </c>
    </row>
    <row r="11" spans="1:15" x14ac:dyDescent="0.2">
      <c r="A11">
        <v>1</v>
      </c>
      <c r="B11" t="s">
        <v>20</v>
      </c>
      <c r="C11">
        <v>1</v>
      </c>
      <c r="D11" t="s">
        <v>18</v>
      </c>
      <c r="E11">
        <f>(5.4/2)^2*PI()</f>
        <v>22.902210444669596</v>
      </c>
      <c r="F11">
        <v>18</v>
      </c>
      <c r="G11" s="1">
        <v>45498</v>
      </c>
      <c r="H11" s="1">
        <v>45502</v>
      </c>
      <c r="I11">
        <v>52</v>
      </c>
      <c r="J11" s="2">
        <v>0.107</v>
      </c>
      <c r="K11" t="s">
        <v>17</v>
      </c>
      <c r="L11" s="2">
        <v>0</v>
      </c>
      <c r="M11">
        <v>54</v>
      </c>
      <c r="N11" s="2">
        <v>0.96</v>
      </c>
    </row>
    <row r="12" spans="1:15" x14ac:dyDescent="0.2">
      <c r="A12">
        <v>1</v>
      </c>
      <c r="B12" t="s">
        <v>20</v>
      </c>
      <c r="C12">
        <v>2</v>
      </c>
      <c r="D12" t="s">
        <v>16</v>
      </c>
      <c r="E12">
        <v>25</v>
      </c>
      <c r="F12">
        <v>15</v>
      </c>
      <c r="G12" s="1">
        <v>45498</v>
      </c>
      <c r="H12" s="1">
        <v>45498</v>
      </c>
      <c r="I12">
        <v>58</v>
      </c>
      <c r="J12" s="2">
        <v>2.4630000000000001</v>
      </c>
      <c r="K12" t="s">
        <v>17</v>
      </c>
      <c r="L12" s="2">
        <v>0</v>
      </c>
      <c r="M12" t="s">
        <v>17</v>
      </c>
      <c r="N12" s="2">
        <v>0</v>
      </c>
      <c r="O12" t="s">
        <v>21</v>
      </c>
    </row>
    <row r="13" spans="1:15" x14ac:dyDescent="0.2">
      <c r="A13">
        <v>1</v>
      </c>
      <c r="B13" t="s">
        <v>20</v>
      </c>
      <c r="C13">
        <v>2</v>
      </c>
      <c r="D13" t="s">
        <v>18</v>
      </c>
      <c r="E13">
        <f>(5.4/2)^2*PI()</f>
        <v>22.902210444669596</v>
      </c>
      <c r="F13">
        <v>10.5</v>
      </c>
      <c r="G13" s="1">
        <v>45498</v>
      </c>
      <c r="H13" s="1">
        <v>45502</v>
      </c>
      <c r="I13">
        <v>55</v>
      </c>
      <c r="J13" s="2">
        <v>0.33300000000000002</v>
      </c>
      <c r="K13" t="s">
        <v>17</v>
      </c>
      <c r="L13" s="2">
        <v>0</v>
      </c>
      <c r="M13" t="s">
        <v>17</v>
      </c>
      <c r="N13" s="2">
        <v>0</v>
      </c>
      <c r="O13" t="s">
        <v>22</v>
      </c>
    </row>
    <row r="14" spans="1:15" x14ac:dyDescent="0.2">
      <c r="A14">
        <v>1</v>
      </c>
      <c r="B14" t="s">
        <v>20</v>
      </c>
      <c r="C14">
        <v>3</v>
      </c>
      <c r="D14" t="s">
        <v>16</v>
      </c>
      <c r="E14">
        <v>25</v>
      </c>
      <c r="F14">
        <v>4</v>
      </c>
      <c r="G14" s="1">
        <v>45498</v>
      </c>
      <c r="H14" s="1">
        <v>45498</v>
      </c>
      <c r="I14">
        <v>61</v>
      </c>
      <c r="J14" s="2">
        <v>0.48299999999999998</v>
      </c>
      <c r="K14" t="s">
        <v>17</v>
      </c>
      <c r="L14" s="2">
        <v>0</v>
      </c>
      <c r="M14" t="s">
        <v>17</v>
      </c>
      <c r="N14" s="2">
        <v>0</v>
      </c>
    </row>
    <row r="15" spans="1:15" x14ac:dyDescent="0.2">
      <c r="A15">
        <v>1</v>
      </c>
      <c r="B15" t="s">
        <v>20</v>
      </c>
      <c r="C15">
        <v>3</v>
      </c>
      <c r="D15" t="s">
        <v>18</v>
      </c>
      <c r="E15">
        <f>(5.4/2)^2*PI()</f>
        <v>22.902210444669596</v>
      </c>
      <c r="F15">
        <v>17</v>
      </c>
      <c r="G15" s="1">
        <v>45498</v>
      </c>
      <c r="H15" s="1">
        <v>45502</v>
      </c>
      <c r="I15">
        <v>64</v>
      </c>
      <c r="J15" s="2">
        <v>6.9000000000000006E-2</v>
      </c>
      <c r="K15" t="s">
        <v>17</v>
      </c>
      <c r="L15" s="2">
        <v>0</v>
      </c>
      <c r="M15" t="s">
        <v>17</v>
      </c>
      <c r="N15" s="2">
        <v>0</v>
      </c>
    </row>
    <row r="16" spans="1:15" x14ac:dyDescent="0.2">
      <c r="A16">
        <v>1</v>
      </c>
      <c r="B16" t="s">
        <v>20</v>
      </c>
      <c r="C16">
        <v>4</v>
      </c>
      <c r="D16" t="s">
        <v>16</v>
      </c>
      <c r="E16">
        <v>25</v>
      </c>
      <c r="F16">
        <v>20</v>
      </c>
      <c r="G16" s="1">
        <v>45498</v>
      </c>
      <c r="H16" s="1">
        <v>45498</v>
      </c>
      <c r="I16">
        <v>67</v>
      </c>
      <c r="J16" s="2">
        <v>1.61</v>
      </c>
      <c r="K16" t="s">
        <v>17</v>
      </c>
      <c r="L16" s="2">
        <v>0</v>
      </c>
      <c r="M16" t="s">
        <v>17</v>
      </c>
      <c r="N16" s="2">
        <v>0</v>
      </c>
    </row>
    <row r="17" spans="1:15" x14ac:dyDescent="0.2">
      <c r="A17">
        <v>1</v>
      </c>
      <c r="B17" t="s">
        <v>20</v>
      </c>
      <c r="C17">
        <v>4</v>
      </c>
      <c r="D17" t="s">
        <v>18</v>
      </c>
      <c r="E17">
        <f>(5.4/2)^2*PI()</f>
        <v>22.902210444669596</v>
      </c>
      <c r="F17">
        <v>15</v>
      </c>
      <c r="G17" s="1">
        <v>45498</v>
      </c>
      <c r="H17" s="1">
        <v>45502</v>
      </c>
      <c r="I17">
        <v>70</v>
      </c>
      <c r="J17" s="2">
        <v>0.188</v>
      </c>
      <c r="K17" t="s">
        <v>17</v>
      </c>
      <c r="L17" s="2">
        <v>0</v>
      </c>
      <c r="M17">
        <v>72</v>
      </c>
      <c r="N17" s="2">
        <v>2E-3</v>
      </c>
    </row>
    <row r="18" spans="1:15" x14ac:dyDescent="0.2">
      <c r="A18">
        <v>1</v>
      </c>
      <c r="B18" t="s">
        <v>23</v>
      </c>
      <c r="C18">
        <v>1</v>
      </c>
      <c r="D18" t="s">
        <v>16</v>
      </c>
      <c r="E18">
        <v>25</v>
      </c>
      <c r="F18">
        <v>13</v>
      </c>
      <c r="G18" s="1">
        <v>45498</v>
      </c>
      <c r="H18" s="1">
        <v>45498</v>
      </c>
      <c r="I18">
        <v>73</v>
      </c>
      <c r="J18" s="2">
        <v>2.4350000000000001</v>
      </c>
      <c r="K18" t="s">
        <v>17</v>
      </c>
      <c r="L18" s="2">
        <v>0</v>
      </c>
      <c r="M18" t="s">
        <v>17</v>
      </c>
      <c r="N18" s="2">
        <v>0</v>
      </c>
    </row>
    <row r="19" spans="1:15" x14ac:dyDescent="0.2">
      <c r="A19">
        <v>1</v>
      </c>
      <c r="B19" t="s">
        <v>23</v>
      </c>
      <c r="C19">
        <v>1</v>
      </c>
      <c r="D19" t="s">
        <v>18</v>
      </c>
      <c r="E19">
        <f>(5.4/2)^2*PI()</f>
        <v>22.902210444669596</v>
      </c>
      <c r="F19">
        <v>14</v>
      </c>
      <c r="G19" s="1">
        <v>45498</v>
      </c>
      <c r="H19" s="1">
        <v>45499</v>
      </c>
      <c r="I19">
        <v>76</v>
      </c>
      <c r="J19" s="2">
        <v>2.1930000000000001</v>
      </c>
      <c r="K19" t="s">
        <v>17</v>
      </c>
      <c r="L19" s="2">
        <v>0</v>
      </c>
      <c r="M19">
        <v>78</v>
      </c>
      <c r="N19" s="2">
        <v>1.7000000000000001E-2</v>
      </c>
    </row>
    <row r="20" spans="1:15" x14ac:dyDescent="0.2">
      <c r="A20">
        <v>1</v>
      </c>
      <c r="B20" t="s">
        <v>23</v>
      </c>
      <c r="C20">
        <v>2</v>
      </c>
      <c r="D20" t="s">
        <v>16</v>
      </c>
      <c r="E20">
        <v>25</v>
      </c>
      <c r="F20">
        <v>12</v>
      </c>
      <c r="G20" s="1">
        <v>45498</v>
      </c>
      <c r="H20" s="1">
        <v>45498</v>
      </c>
      <c r="I20">
        <v>79</v>
      </c>
      <c r="J20" s="2">
        <v>1.286</v>
      </c>
      <c r="K20" t="s">
        <v>17</v>
      </c>
      <c r="L20" s="2">
        <v>0</v>
      </c>
      <c r="M20" t="s">
        <v>17</v>
      </c>
      <c r="N20" s="2">
        <v>0</v>
      </c>
    </row>
    <row r="21" spans="1:15" x14ac:dyDescent="0.2">
      <c r="A21">
        <v>1</v>
      </c>
      <c r="B21" t="s">
        <v>23</v>
      </c>
      <c r="C21">
        <v>2</v>
      </c>
      <c r="D21" t="s">
        <v>18</v>
      </c>
      <c r="E21">
        <f>(5.4/2)^2*PI()</f>
        <v>22.902210444669596</v>
      </c>
      <c r="F21">
        <v>9</v>
      </c>
      <c r="G21" s="1">
        <v>45498</v>
      </c>
      <c r="H21" s="1">
        <v>45498</v>
      </c>
      <c r="I21">
        <v>82</v>
      </c>
      <c r="J21" s="2">
        <v>0.18099999999999999</v>
      </c>
      <c r="K21" t="s">
        <v>17</v>
      </c>
      <c r="L21" s="2">
        <v>0</v>
      </c>
      <c r="M21">
        <v>84</v>
      </c>
      <c r="N21" s="2">
        <v>8.0000000000000002E-3</v>
      </c>
      <c r="O21" t="s">
        <v>24</v>
      </c>
    </row>
    <row r="22" spans="1:15" x14ac:dyDescent="0.2">
      <c r="A22">
        <v>1</v>
      </c>
      <c r="B22" t="s">
        <v>23</v>
      </c>
      <c r="C22">
        <v>3</v>
      </c>
      <c r="D22" t="s">
        <v>16</v>
      </c>
      <c r="E22">
        <v>25</v>
      </c>
      <c r="F22">
        <v>5</v>
      </c>
      <c r="G22" s="1">
        <v>45498</v>
      </c>
      <c r="H22" s="1">
        <v>45498</v>
      </c>
      <c r="I22">
        <v>85</v>
      </c>
      <c r="J22" s="2">
        <v>0.96599999999999997</v>
      </c>
      <c r="K22" t="s">
        <v>17</v>
      </c>
      <c r="L22" s="2">
        <v>0</v>
      </c>
      <c r="M22" t="s">
        <v>17</v>
      </c>
      <c r="N22" s="2">
        <v>0</v>
      </c>
    </row>
    <row r="23" spans="1:15" x14ac:dyDescent="0.2">
      <c r="A23">
        <v>1</v>
      </c>
      <c r="B23" t="s">
        <v>23</v>
      </c>
      <c r="C23">
        <v>3</v>
      </c>
      <c r="D23" t="s">
        <v>18</v>
      </c>
      <c r="E23">
        <f>(5.4/2)^2*PI()</f>
        <v>22.902210444669596</v>
      </c>
      <c r="F23">
        <v>15</v>
      </c>
      <c r="G23" s="1">
        <v>45498</v>
      </c>
      <c r="H23" s="1">
        <v>45499</v>
      </c>
      <c r="I23">
        <v>88</v>
      </c>
      <c r="J23" s="2">
        <v>1.25</v>
      </c>
      <c r="K23" t="s">
        <v>17</v>
      </c>
      <c r="L23" s="2">
        <v>0</v>
      </c>
      <c r="M23" t="s">
        <v>17</v>
      </c>
      <c r="N23" s="2">
        <v>0</v>
      </c>
    </row>
    <row r="24" spans="1:15" x14ac:dyDescent="0.2">
      <c r="A24">
        <v>1</v>
      </c>
      <c r="B24" t="s">
        <v>23</v>
      </c>
      <c r="C24">
        <v>4</v>
      </c>
      <c r="D24" t="s">
        <v>16</v>
      </c>
      <c r="E24">
        <v>25</v>
      </c>
      <c r="F24">
        <v>17</v>
      </c>
      <c r="G24" s="1">
        <v>45498</v>
      </c>
      <c r="H24" s="1">
        <v>45499</v>
      </c>
      <c r="I24">
        <v>94</v>
      </c>
      <c r="J24" s="2">
        <v>1.385</v>
      </c>
      <c r="K24" t="s">
        <v>17</v>
      </c>
      <c r="L24" s="2">
        <v>0</v>
      </c>
      <c r="M24">
        <v>96</v>
      </c>
      <c r="N24" s="2">
        <v>0.03</v>
      </c>
    </row>
    <row r="25" spans="1:15" x14ac:dyDescent="0.2">
      <c r="A25">
        <v>1</v>
      </c>
      <c r="B25" t="s">
        <v>23</v>
      </c>
      <c r="C25">
        <v>4</v>
      </c>
      <c r="D25" t="s">
        <v>18</v>
      </c>
      <c r="E25">
        <f>(5.4/2)^2*PI()</f>
        <v>22.902210444669596</v>
      </c>
      <c r="F25">
        <v>9.5</v>
      </c>
      <c r="G25" s="1">
        <v>45498</v>
      </c>
      <c r="H25" s="1">
        <v>45499</v>
      </c>
      <c r="I25">
        <v>91</v>
      </c>
      <c r="J25" s="2">
        <v>0.38300000000000001</v>
      </c>
      <c r="K25" t="s">
        <v>17</v>
      </c>
      <c r="L25" s="2">
        <v>0</v>
      </c>
      <c r="M25">
        <v>93</v>
      </c>
      <c r="N25" s="2">
        <v>2E-3</v>
      </c>
    </row>
    <row r="26" spans="1:15" x14ac:dyDescent="0.2">
      <c r="A26">
        <v>1</v>
      </c>
      <c r="B26" t="s">
        <v>25</v>
      </c>
      <c r="C26">
        <v>1</v>
      </c>
      <c r="D26" t="s">
        <v>16</v>
      </c>
      <c r="E26">
        <v>25</v>
      </c>
      <c r="F26">
        <v>14</v>
      </c>
      <c r="G26" s="1">
        <v>45498</v>
      </c>
      <c r="H26" s="1">
        <v>45498</v>
      </c>
      <c r="I26">
        <v>97</v>
      </c>
      <c r="J26" s="2">
        <v>1.2370000000000001</v>
      </c>
      <c r="K26" t="s">
        <v>17</v>
      </c>
      <c r="L26" s="2">
        <v>0</v>
      </c>
      <c r="M26" t="s">
        <v>17</v>
      </c>
      <c r="N26" s="2">
        <v>0</v>
      </c>
    </row>
    <row r="27" spans="1:15" x14ac:dyDescent="0.2">
      <c r="A27">
        <v>1</v>
      </c>
      <c r="B27" t="s">
        <v>25</v>
      </c>
      <c r="C27">
        <v>1</v>
      </c>
      <c r="D27" t="s">
        <v>18</v>
      </c>
      <c r="E27">
        <f>(5.4/2)^2*PI()</f>
        <v>22.902210444669596</v>
      </c>
      <c r="F27">
        <v>13.5</v>
      </c>
      <c r="G27" s="1">
        <v>45498</v>
      </c>
      <c r="H27" s="1">
        <v>45500</v>
      </c>
      <c r="I27">
        <v>100</v>
      </c>
      <c r="J27" s="2">
        <v>0.73899999999999999</v>
      </c>
      <c r="K27" t="s">
        <v>17</v>
      </c>
      <c r="L27" s="2">
        <v>0</v>
      </c>
      <c r="M27">
        <v>102</v>
      </c>
      <c r="N27" s="2">
        <v>4.1000000000000002E-2</v>
      </c>
    </row>
    <row r="28" spans="1:15" x14ac:dyDescent="0.2">
      <c r="A28">
        <v>1</v>
      </c>
      <c r="B28" t="s">
        <v>25</v>
      </c>
      <c r="C28">
        <v>2</v>
      </c>
      <c r="D28" t="s">
        <v>16</v>
      </c>
      <c r="E28">
        <v>25</v>
      </c>
      <c r="F28">
        <v>10.5</v>
      </c>
      <c r="G28" s="1">
        <v>45498</v>
      </c>
      <c r="H28" s="1">
        <v>45500</v>
      </c>
      <c r="I28">
        <v>103</v>
      </c>
      <c r="J28" s="2">
        <v>0.77600000000000002</v>
      </c>
      <c r="K28">
        <v>104</v>
      </c>
      <c r="L28" s="2">
        <v>2.1000000000000001E-2</v>
      </c>
      <c r="M28" t="s">
        <v>17</v>
      </c>
      <c r="N28" s="2">
        <v>0</v>
      </c>
    </row>
    <row r="29" spans="1:15" x14ac:dyDescent="0.2">
      <c r="A29">
        <v>1</v>
      </c>
      <c r="B29" t="s">
        <v>25</v>
      </c>
      <c r="C29">
        <v>2</v>
      </c>
      <c r="D29" t="s">
        <v>18</v>
      </c>
      <c r="E29">
        <f>(5.4/2)^2*PI()</f>
        <v>22.902210444669596</v>
      </c>
      <c r="F29">
        <v>16</v>
      </c>
      <c r="G29" s="1">
        <v>45498</v>
      </c>
      <c r="H29" s="1">
        <v>45500</v>
      </c>
      <c r="I29">
        <v>106</v>
      </c>
      <c r="J29" s="2">
        <v>1.65</v>
      </c>
      <c r="K29" t="s">
        <v>17</v>
      </c>
      <c r="L29" s="2">
        <v>0</v>
      </c>
      <c r="M29">
        <v>108</v>
      </c>
      <c r="N29" s="2">
        <v>8.0000000000000002E-3</v>
      </c>
    </row>
    <row r="30" spans="1:15" x14ac:dyDescent="0.2">
      <c r="A30">
        <v>1</v>
      </c>
      <c r="B30" t="s">
        <v>25</v>
      </c>
      <c r="C30">
        <v>3</v>
      </c>
      <c r="D30" t="s">
        <v>16</v>
      </c>
      <c r="E30">
        <v>25</v>
      </c>
      <c r="F30">
        <v>16</v>
      </c>
      <c r="G30" s="1">
        <v>45498</v>
      </c>
      <c r="H30" s="1">
        <v>45500</v>
      </c>
      <c r="I30">
        <v>109</v>
      </c>
      <c r="J30" s="2">
        <v>1.546</v>
      </c>
      <c r="K30" t="s">
        <v>17</v>
      </c>
      <c r="L30" s="2">
        <v>0</v>
      </c>
      <c r="M30">
        <v>111</v>
      </c>
      <c r="N30" s="2">
        <v>0.11700000000000001</v>
      </c>
    </row>
    <row r="31" spans="1:15" x14ac:dyDescent="0.2">
      <c r="A31">
        <v>1</v>
      </c>
      <c r="B31" t="s">
        <v>25</v>
      </c>
      <c r="C31">
        <v>3</v>
      </c>
      <c r="D31" t="s">
        <v>18</v>
      </c>
      <c r="E31">
        <f>(5.4/2)^2*PI()</f>
        <v>22.902210444669596</v>
      </c>
      <c r="F31" t="s">
        <v>17</v>
      </c>
      <c r="G31" s="1">
        <v>45498</v>
      </c>
      <c r="H31" t="s">
        <v>17</v>
      </c>
      <c r="I31" t="s">
        <v>17</v>
      </c>
      <c r="J31" s="2" t="s">
        <v>17</v>
      </c>
      <c r="K31" t="s">
        <v>17</v>
      </c>
      <c r="L31" s="2" t="s">
        <v>17</v>
      </c>
      <c r="M31" t="s">
        <v>17</v>
      </c>
      <c r="N31" s="2" t="s">
        <v>17</v>
      </c>
    </row>
    <row r="32" spans="1:15" x14ac:dyDescent="0.2">
      <c r="A32">
        <v>1</v>
      </c>
      <c r="B32" t="s">
        <v>25</v>
      </c>
      <c r="C32">
        <v>4</v>
      </c>
      <c r="D32" t="s">
        <v>16</v>
      </c>
      <c r="E32">
        <v>25</v>
      </c>
      <c r="F32">
        <v>21.5</v>
      </c>
      <c r="G32" s="1">
        <v>45498</v>
      </c>
      <c r="H32" s="1">
        <v>45500</v>
      </c>
      <c r="I32">
        <v>115</v>
      </c>
      <c r="J32" s="2">
        <v>1.742</v>
      </c>
      <c r="K32" t="s">
        <v>17</v>
      </c>
      <c r="L32" s="2">
        <v>0</v>
      </c>
      <c r="M32">
        <v>117</v>
      </c>
      <c r="N32" s="2">
        <v>0.32300000000000001</v>
      </c>
    </row>
    <row r="33" spans="1:14" x14ac:dyDescent="0.2">
      <c r="A33">
        <v>1</v>
      </c>
      <c r="B33" t="s">
        <v>25</v>
      </c>
      <c r="C33">
        <v>4</v>
      </c>
      <c r="D33" t="s">
        <v>18</v>
      </c>
      <c r="E33">
        <f>(5.4/2)^2*PI()</f>
        <v>22.902210444669596</v>
      </c>
      <c r="F33" t="s">
        <v>17</v>
      </c>
      <c r="G33" s="1">
        <v>45498</v>
      </c>
      <c r="H33" t="s">
        <v>17</v>
      </c>
      <c r="I33" t="s">
        <v>17</v>
      </c>
      <c r="J33" s="2" t="s">
        <v>17</v>
      </c>
      <c r="K33" t="s">
        <v>17</v>
      </c>
      <c r="L33" s="2" t="s">
        <v>17</v>
      </c>
      <c r="M33" t="s">
        <v>17</v>
      </c>
      <c r="N33" s="2" t="s">
        <v>17</v>
      </c>
    </row>
    <row r="34" spans="1:14" x14ac:dyDescent="0.2">
      <c r="A34">
        <v>1</v>
      </c>
      <c r="B34" t="s">
        <v>26</v>
      </c>
      <c r="C34">
        <v>1</v>
      </c>
      <c r="D34" t="s">
        <v>16</v>
      </c>
      <c r="E34">
        <v>25</v>
      </c>
      <c r="F34">
        <v>18.5</v>
      </c>
      <c r="G34" s="1">
        <v>45498</v>
      </c>
      <c r="H34" s="1">
        <v>45499</v>
      </c>
      <c r="I34">
        <v>121</v>
      </c>
      <c r="J34" s="2">
        <v>1.734</v>
      </c>
      <c r="K34" t="s">
        <v>17</v>
      </c>
      <c r="L34" s="2">
        <v>0</v>
      </c>
      <c r="M34" t="s">
        <v>17</v>
      </c>
      <c r="N34" s="2">
        <v>0</v>
      </c>
    </row>
    <row r="35" spans="1:14" x14ac:dyDescent="0.2">
      <c r="A35">
        <v>1</v>
      </c>
      <c r="B35" t="s">
        <v>26</v>
      </c>
      <c r="C35">
        <v>1</v>
      </c>
      <c r="D35" t="s">
        <v>18</v>
      </c>
      <c r="E35">
        <f>(5.4/2)^2*PI()</f>
        <v>22.902210444669596</v>
      </c>
      <c r="F35" t="s">
        <v>17</v>
      </c>
      <c r="G35" s="1">
        <v>45498</v>
      </c>
      <c r="H35" t="s">
        <v>17</v>
      </c>
      <c r="I35" t="s">
        <v>17</v>
      </c>
      <c r="J35" s="2" t="s">
        <v>17</v>
      </c>
      <c r="K35" t="s">
        <v>17</v>
      </c>
      <c r="L35" s="2" t="s">
        <v>17</v>
      </c>
      <c r="M35" t="s">
        <v>17</v>
      </c>
      <c r="N35" s="2" t="s">
        <v>17</v>
      </c>
    </row>
    <row r="36" spans="1:14" x14ac:dyDescent="0.2">
      <c r="A36">
        <v>1</v>
      </c>
      <c r="B36" t="s">
        <v>26</v>
      </c>
      <c r="C36">
        <v>2</v>
      </c>
      <c r="D36" t="s">
        <v>16</v>
      </c>
      <c r="E36">
        <v>25</v>
      </c>
      <c r="F36">
        <v>13</v>
      </c>
      <c r="G36" s="1">
        <v>45498</v>
      </c>
      <c r="H36" s="1">
        <v>45499</v>
      </c>
      <c r="I36">
        <v>127</v>
      </c>
      <c r="J36" s="2">
        <v>1.0820000000000001</v>
      </c>
      <c r="K36" t="s">
        <v>17</v>
      </c>
      <c r="L36" s="2">
        <v>0</v>
      </c>
      <c r="M36" t="s">
        <v>17</v>
      </c>
      <c r="N36" s="2">
        <v>0</v>
      </c>
    </row>
    <row r="37" spans="1:14" x14ac:dyDescent="0.2">
      <c r="A37">
        <v>1</v>
      </c>
      <c r="B37" t="s">
        <v>26</v>
      </c>
      <c r="C37">
        <v>2</v>
      </c>
      <c r="D37" t="s">
        <v>18</v>
      </c>
      <c r="E37">
        <f>(5.4/2)^2*PI()</f>
        <v>22.902210444669596</v>
      </c>
      <c r="F37">
        <v>13</v>
      </c>
      <c r="G37" s="1">
        <v>45498</v>
      </c>
      <c r="H37" s="1">
        <v>45500</v>
      </c>
      <c r="I37">
        <v>130</v>
      </c>
      <c r="J37" s="2">
        <v>0.48299999999999998</v>
      </c>
      <c r="K37" t="s">
        <v>17</v>
      </c>
      <c r="L37" s="2">
        <v>0</v>
      </c>
      <c r="M37">
        <v>132</v>
      </c>
      <c r="N37" s="2">
        <v>0.02</v>
      </c>
    </row>
    <row r="38" spans="1:14" x14ac:dyDescent="0.2">
      <c r="A38">
        <v>1</v>
      </c>
      <c r="B38" t="s">
        <v>26</v>
      </c>
      <c r="C38">
        <v>3</v>
      </c>
      <c r="D38" t="s">
        <v>16</v>
      </c>
      <c r="E38">
        <v>25</v>
      </c>
      <c r="F38">
        <v>9.5</v>
      </c>
      <c r="G38" s="1">
        <v>45498</v>
      </c>
      <c r="H38" s="1">
        <v>45500</v>
      </c>
      <c r="I38">
        <v>133</v>
      </c>
      <c r="J38" s="2">
        <v>1.212</v>
      </c>
      <c r="K38">
        <v>134</v>
      </c>
      <c r="L38" s="2">
        <v>7.0999999999999994E-2</v>
      </c>
      <c r="M38" t="s">
        <v>17</v>
      </c>
      <c r="N38" s="2">
        <v>0</v>
      </c>
    </row>
    <row r="39" spans="1:14" x14ac:dyDescent="0.2">
      <c r="A39">
        <v>1</v>
      </c>
      <c r="B39" t="s">
        <v>26</v>
      </c>
      <c r="C39">
        <v>3</v>
      </c>
      <c r="D39" t="s">
        <v>18</v>
      </c>
      <c r="E39">
        <f>(5.4/2)^2*PI()</f>
        <v>22.902210444669596</v>
      </c>
      <c r="F39">
        <v>15</v>
      </c>
      <c r="G39" s="1">
        <v>45498</v>
      </c>
      <c r="H39" s="1">
        <v>45500</v>
      </c>
      <c r="I39">
        <v>136</v>
      </c>
      <c r="J39" s="2">
        <v>0.91700000000000004</v>
      </c>
      <c r="K39" t="s">
        <v>17</v>
      </c>
      <c r="L39" s="2">
        <v>0</v>
      </c>
      <c r="M39">
        <v>138</v>
      </c>
      <c r="N39" s="2">
        <v>5.0000000000000001E-3</v>
      </c>
    </row>
    <row r="40" spans="1:14" x14ac:dyDescent="0.2">
      <c r="A40">
        <v>1</v>
      </c>
      <c r="B40" t="s">
        <v>26</v>
      </c>
      <c r="C40">
        <v>4</v>
      </c>
      <c r="D40" t="s">
        <v>16</v>
      </c>
      <c r="E40">
        <v>25</v>
      </c>
      <c r="F40">
        <v>10</v>
      </c>
      <c r="G40" s="1">
        <v>45498</v>
      </c>
      <c r="H40" s="1">
        <v>45499</v>
      </c>
      <c r="I40">
        <v>139</v>
      </c>
      <c r="J40" s="2">
        <v>0.96</v>
      </c>
      <c r="K40" t="s">
        <v>17</v>
      </c>
      <c r="L40" s="2">
        <v>0</v>
      </c>
      <c r="M40">
        <v>141</v>
      </c>
      <c r="N40" s="2">
        <v>1.2E-2</v>
      </c>
    </row>
    <row r="41" spans="1:14" x14ac:dyDescent="0.2">
      <c r="A41">
        <v>1</v>
      </c>
      <c r="B41" t="s">
        <v>26</v>
      </c>
      <c r="C41">
        <v>4</v>
      </c>
      <c r="D41" t="s">
        <v>18</v>
      </c>
      <c r="E41">
        <f>(5.4/2)^2*PI()</f>
        <v>22.902210444669596</v>
      </c>
      <c r="F41">
        <v>18</v>
      </c>
      <c r="G41" s="1">
        <v>45498</v>
      </c>
      <c r="H41" s="1">
        <v>45500</v>
      </c>
      <c r="I41">
        <v>142</v>
      </c>
      <c r="J41" s="2">
        <v>1.331</v>
      </c>
      <c r="K41" t="s">
        <v>17</v>
      </c>
      <c r="L41" s="2">
        <v>0</v>
      </c>
      <c r="M41">
        <v>144</v>
      </c>
      <c r="N41" s="2">
        <v>3.7999999999999999E-2</v>
      </c>
    </row>
    <row r="42" spans="1:14" x14ac:dyDescent="0.2">
      <c r="A42">
        <v>1</v>
      </c>
      <c r="B42" t="s">
        <v>27</v>
      </c>
      <c r="C42">
        <v>1</v>
      </c>
      <c r="D42" t="s">
        <v>16</v>
      </c>
      <c r="E42">
        <v>25</v>
      </c>
      <c r="F42">
        <v>11</v>
      </c>
      <c r="G42" s="1">
        <v>45497</v>
      </c>
      <c r="H42" s="1">
        <v>45498</v>
      </c>
      <c r="I42">
        <v>25</v>
      </c>
      <c r="J42" s="2">
        <v>1.1719999999999999</v>
      </c>
      <c r="K42" t="s">
        <v>17</v>
      </c>
      <c r="L42" s="2">
        <v>0</v>
      </c>
      <c r="M42" t="s">
        <v>17</v>
      </c>
      <c r="N42" s="2">
        <v>0</v>
      </c>
    </row>
    <row r="43" spans="1:14" x14ac:dyDescent="0.2">
      <c r="A43">
        <v>1</v>
      </c>
      <c r="B43" t="s">
        <v>27</v>
      </c>
      <c r="C43">
        <v>1</v>
      </c>
      <c r="D43" t="s">
        <v>18</v>
      </c>
      <c r="E43">
        <f>(4.5/2)^2*PI()</f>
        <v>15.904312808798327</v>
      </c>
      <c r="F43" t="s">
        <v>17</v>
      </c>
      <c r="G43" s="1">
        <v>45497</v>
      </c>
      <c r="H43" t="s">
        <v>17</v>
      </c>
      <c r="I43" t="s">
        <v>17</v>
      </c>
      <c r="J43" s="2" t="s">
        <v>17</v>
      </c>
      <c r="K43" t="s">
        <v>17</v>
      </c>
      <c r="L43" s="2" t="s">
        <v>17</v>
      </c>
      <c r="M43" t="s">
        <v>17</v>
      </c>
      <c r="N43" s="2" t="s">
        <v>17</v>
      </c>
    </row>
    <row r="44" spans="1:14" x14ac:dyDescent="0.2">
      <c r="A44">
        <v>1</v>
      </c>
      <c r="B44" t="s">
        <v>27</v>
      </c>
      <c r="C44">
        <v>2</v>
      </c>
      <c r="D44" t="s">
        <v>16</v>
      </c>
      <c r="E44">
        <v>25</v>
      </c>
      <c r="F44">
        <v>20</v>
      </c>
      <c r="G44" s="1">
        <v>45497</v>
      </c>
      <c r="H44" s="1">
        <v>45498</v>
      </c>
      <c r="I44">
        <v>31</v>
      </c>
      <c r="J44" s="2">
        <v>2.3450000000000002</v>
      </c>
      <c r="K44" t="s">
        <v>17</v>
      </c>
      <c r="L44" s="2">
        <v>0</v>
      </c>
      <c r="M44">
        <v>33</v>
      </c>
      <c r="N44" s="2">
        <v>0.64300000000000002</v>
      </c>
    </row>
    <row r="45" spans="1:14" x14ac:dyDescent="0.2">
      <c r="A45">
        <v>1</v>
      </c>
      <c r="B45" t="s">
        <v>27</v>
      </c>
      <c r="C45">
        <v>2</v>
      </c>
      <c r="D45" t="s">
        <v>18</v>
      </c>
      <c r="E45">
        <f>(4.5/2)^2*PI()</f>
        <v>15.904312808798327</v>
      </c>
      <c r="F45" t="s">
        <v>17</v>
      </c>
      <c r="G45" s="1">
        <v>45497</v>
      </c>
      <c r="H45" t="s">
        <v>17</v>
      </c>
      <c r="I45" t="s">
        <v>17</v>
      </c>
      <c r="J45" s="2" t="s">
        <v>17</v>
      </c>
      <c r="K45" t="s">
        <v>17</v>
      </c>
      <c r="L45" s="2" t="s">
        <v>17</v>
      </c>
      <c r="M45" t="s">
        <v>17</v>
      </c>
      <c r="N45" s="2" t="s">
        <v>17</v>
      </c>
    </row>
    <row r="46" spans="1:14" x14ac:dyDescent="0.2">
      <c r="A46">
        <v>1</v>
      </c>
      <c r="B46" t="s">
        <v>27</v>
      </c>
      <c r="C46">
        <v>3</v>
      </c>
      <c r="D46" t="s">
        <v>16</v>
      </c>
      <c r="E46">
        <v>25</v>
      </c>
      <c r="F46">
        <v>14</v>
      </c>
      <c r="G46" s="1">
        <v>45497</v>
      </c>
      <c r="H46" s="1">
        <v>45498</v>
      </c>
      <c r="I46">
        <v>37</v>
      </c>
      <c r="J46" s="2">
        <v>4.7220000000000004</v>
      </c>
      <c r="K46" t="s">
        <v>17</v>
      </c>
      <c r="L46" s="2">
        <v>0</v>
      </c>
      <c r="M46">
        <v>39</v>
      </c>
      <c r="N46" s="2">
        <v>2.1000000000000001E-2</v>
      </c>
    </row>
    <row r="47" spans="1:14" x14ac:dyDescent="0.2">
      <c r="A47">
        <v>1</v>
      </c>
      <c r="B47" t="s">
        <v>27</v>
      </c>
      <c r="C47">
        <v>3</v>
      </c>
      <c r="D47" t="s">
        <v>18</v>
      </c>
      <c r="E47">
        <f>(4.5/2)^2*PI()</f>
        <v>15.904312808798327</v>
      </c>
      <c r="F47" t="s">
        <v>17</v>
      </c>
      <c r="G47" s="1">
        <v>45497</v>
      </c>
      <c r="H47" t="s">
        <v>17</v>
      </c>
      <c r="I47" t="s">
        <v>17</v>
      </c>
      <c r="J47" s="2" t="s">
        <v>17</v>
      </c>
      <c r="K47" t="s">
        <v>17</v>
      </c>
      <c r="L47" s="2" t="s">
        <v>17</v>
      </c>
      <c r="M47" t="s">
        <v>17</v>
      </c>
      <c r="N47" s="2" t="s">
        <v>17</v>
      </c>
    </row>
    <row r="48" spans="1:14" x14ac:dyDescent="0.2">
      <c r="A48">
        <v>1</v>
      </c>
      <c r="B48" t="s">
        <v>27</v>
      </c>
      <c r="C48">
        <v>4</v>
      </c>
      <c r="D48" t="s">
        <v>16</v>
      </c>
      <c r="E48">
        <v>25</v>
      </c>
      <c r="F48">
        <v>14</v>
      </c>
      <c r="G48" s="1">
        <v>45497</v>
      </c>
      <c r="H48" s="1">
        <v>45498</v>
      </c>
      <c r="I48">
        <v>43</v>
      </c>
      <c r="J48" s="2">
        <v>1.1359999999999999</v>
      </c>
      <c r="K48" t="s">
        <v>17</v>
      </c>
      <c r="L48" s="2">
        <v>0</v>
      </c>
      <c r="M48" t="s">
        <v>17</v>
      </c>
      <c r="N48" s="2">
        <v>0</v>
      </c>
    </row>
    <row r="49" spans="1:15" x14ac:dyDescent="0.2">
      <c r="A49">
        <v>1</v>
      </c>
      <c r="B49" t="s">
        <v>27</v>
      </c>
      <c r="C49">
        <v>4</v>
      </c>
      <c r="D49" t="s">
        <v>18</v>
      </c>
      <c r="E49">
        <f>(4.5/2)^2*PI()</f>
        <v>15.904312808798327</v>
      </c>
      <c r="F49">
        <v>6.5</v>
      </c>
      <c r="G49" s="1">
        <v>45497</v>
      </c>
      <c r="H49" s="1">
        <v>45498</v>
      </c>
      <c r="I49">
        <v>46</v>
      </c>
      <c r="J49" s="2">
        <v>0.20599999999999999</v>
      </c>
      <c r="K49" t="s">
        <v>17</v>
      </c>
      <c r="L49" s="2">
        <v>0</v>
      </c>
      <c r="M49" t="s">
        <v>17</v>
      </c>
      <c r="N49" s="2">
        <v>0</v>
      </c>
    </row>
    <row r="50" spans="1:15" x14ac:dyDescent="0.2">
      <c r="A50">
        <v>2</v>
      </c>
      <c r="B50" t="s">
        <v>15</v>
      </c>
      <c r="C50">
        <v>1</v>
      </c>
      <c r="D50" t="s">
        <v>16</v>
      </c>
      <c r="E50">
        <v>25</v>
      </c>
      <c r="F50">
        <v>4.5</v>
      </c>
      <c r="G50" s="1">
        <v>45498</v>
      </c>
      <c r="H50" s="1">
        <v>45499</v>
      </c>
      <c r="I50">
        <v>151</v>
      </c>
      <c r="J50" s="2">
        <v>0.45300000000000001</v>
      </c>
      <c r="K50" t="s">
        <v>17</v>
      </c>
      <c r="L50" s="2">
        <v>0</v>
      </c>
      <c r="M50" t="s">
        <v>17</v>
      </c>
      <c r="N50" s="2">
        <v>0</v>
      </c>
      <c r="O50" t="s">
        <v>28</v>
      </c>
    </row>
    <row r="51" spans="1:15" x14ac:dyDescent="0.2">
      <c r="A51">
        <v>2</v>
      </c>
      <c r="B51" t="s">
        <v>15</v>
      </c>
      <c r="C51">
        <v>1</v>
      </c>
      <c r="D51" t="s">
        <v>18</v>
      </c>
      <c r="E51">
        <v>25</v>
      </c>
      <c r="F51">
        <v>25</v>
      </c>
      <c r="G51" s="1">
        <v>45498</v>
      </c>
      <c r="H51" s="1">
        <v>45500</v>
      </c>
      <c r="I51">
        <v>154</v>
      </c>
      <c r="J51" s="2">
        <v>0.29099999999999998</v>
      </c>
      <c r="K51" t="s">
        <v>17</v>
      </c>
      <c r="L51" s="2">
        <v>0</v>
      </c>
      <c r="M51" t="s">
        <v>17</v>
      </c>
      <c r="N51" s="2">
        <v>0</v>
      </c>
      <c r="O51" t="s">
        <v>28</v>
      </c>
    </row>
    <row r="52" spans="1:15" x14ac:dyDescent="0.2">
      <c r="A52">
        <v>2</v>
      </c>
      <c r="B52" t="s">
        <v>15</v>
      </c>
      <c r="C52">
        <v>2</v>
      </c>
      <c r="D52" t="s">
        <v>16</v>
      </c>
      <c r="E52">
        <v>25</v>
      </c>
      <c r="F52">
        <v>10.5</v>
      </c>
      <c r="G52" s="1">
        <v>45498</v>
      </c>
      <c r="H52" s="1">
        <v>45499</v>
      </c>
      <c r="I52">
        <v>157</v>
      </c>
      <c r="J52" s="2">
        <v>1.1579999999999999</v>
      </c>
      <c r="K52">
        <v>158</v>
      </c>
      <c r="L52" s="2">
        <v>0.53200000000000003</v>
      </c>
      <c r="M52">
        <v>159</v>
      </c>
      <c r="N52" s="2">
        <v>1.2999999999999999E-2</v>
      </c>
    </row>
    <row r="53" spans="1:15" x14ac:dyDescent="0.2">
      <c r="A53">
        <v>2</v>
      </c>
      <c r="B53" t="s">
        <v>15</v>
      </c>
      <c r="C53">
        <v>2</v>
      </c>
      <c r="D53" t="s">
        <v>18</v>
      </c>
      <c r="E53">
        <v>25</v>
      </c>
      <c r="F53">
        <v>13.5</v>
      </c>
      <c r="G53" s="1">
        <v>45498</v>
      </c>
      <c r="H53" s="1">
        <v>45500</v>
      </c>
      <c r="I53">
        <v>160</v>
      </c>
      <c r="J53" s="2">
        <v>4.7E-2</v>
      </c>
      <c r="K53" t="s">
        <v>17</v>
      </c>
      <c r="L53" s="2">
        <v>0</v>
      </c>
      <c r="M53">
        <v>162</v>
      </c>
      <c r="N53" s="2">
        <v>1.0999999999999999E-2</v>
      </c>
    </row>
    <row r="54" spans="1:15" x14ac:dyDescent="0.2">
      <c r="A54">
        <v>2</v>
      </c>
      <c r="B54" t="s">
        <v>15</v>
      </c>
      <c r="C54">
        <v>3</v>
      </c>
      <c r="D54" t="s">
        <v>16</v>
      </c>
      <c r="E54">
        <v>25</v>
      </c>
      <c r="F54">
        <v>17.5</v>
      </c>
      <c r="G54" s="1">
        <v>45498</v>
      </c>
      <c r="H54" s="1">
        <v>45500</v>
      </c>
      <c r="I54">
        <v>163</v>
      </c>
      <c r="J54" s="2">
        <v>0.69199999999999995</v>
      </c>
      <c r="K54" t="s">
        <v>17</v>
      </c>
      <c r="L54" s="2">
        <v>0</v>
      </c>
      <c r="M54" t="s">
        <v>17</v>
      </c>
      <c r="N54" s="2">
        <v>0</v>
      </c>
    </row>
    <row r="55" spans="1:15" x14ac:dyDescent="0.2">
      <c r="A55">
        <v>2</v>
      </c>
      <c r="B55" t="s">
        <v>15</v>
      </c>
      <c r="C55">
        <v>3</v>
      </c>
      <c r="D55" t="s">
        <v>18</v>
      </c>
      <c r="E55">
        <v>25</v>
      </c>
      <c r="F55">
        <v>5.5</v>
      </c>
      <c r="G55" s="1">
        <v>45498</v>
      </c>
      <c r="H55" s="1">
        <v>45500</v>
      </c>
      <c r="I55">
        <v>166</v>
      </c>
      <c r="J55" s="2">
        <v>3.3000000000000002E-2</v>
      </c>
      <c r="K55" t="s">
        <v>17</v>
      </c>
      <c r="L55" s="2">
        <v>0</v>
      </c>
      <c r="M55">
        <v>168</v>
      </c>
      <c r="N55" s="2">
        <v>2.3E-2</v>
      </c>
    </row>
    <row r="56" spans="1:15" x14ac:dyDescent="0.2">
      <c r="A56">
        <v>2</v>
      </c>
      <c r="B56" t="s">
        <v>15</v>
      </c>
      <c r="C56">
        <v>4</v>
      </c>
      <c r="D56" t="s">
        <v>16</v>
      </c>
      <c r="E56">
        <v>25</v>
      </c>
      <c r="F56">
        <v>10.5</v>
      </c>
      <c r="G56" s="1">
        <v>45498</v>
      </c>
      <c r="H56" s="1">
        <v>45500</v>
      </c>
      <c r="I56">
        <v>169</v>
      </c>
      <c r="J56" s="2">
        <v>1.1519999999999999</v>
      </c>
      <c r="K56" t="s">
        <v>17</v>
      </c>
      <c r="L56" s="2">
        <v>0</v>
      </c>
      <c r="M56" t="s">
        <v>17</v>
      </c>
      <c r="N56" s="2">
        <v>0</v>
      </c>
    </row>
    <row r="57" spans="1:15" x14ac:dyDescent="0.2">
      <c r="A57">
        <v>2</v>
      </c>
      <c r="B57" t="s">
        <v>15</v>
      </c>
      <c r="C57">
        <v>4</v>
      </c>
      <c r="D57" t="s">
        <v>18</v>
      </c>
      <c r="E57">
        <v>25</v>
      </c>
      <c r="F57">
        <v>16</v>
      </c>
      <c r="G57" s="1">
        <v>45498</v>
      </c>
      <c r="H57" s="1">
        <v>45501</v>
      </c>
      <c r="I57">
        <v>172</v>
      </c>
      <c r="J57" s="2">
        <v>5.0000000000000001E-3</v>
      </c>
      <c r="K57" t="s">
        <v>17</v>
      </c>
      <c r="L57" s="2">
        <v>0</v>
      </c>
      <c r="M57" t="s">
        <v>17</v>
      </c>
      <c r="N57" s="2">
        <v>0</v>
      </c>
    </row>
    <row r="58" spans="1:15" x14ac:dyDescent="0.2">
      <c r="A58">
        <v>2</v>
      </c>
      <c r="B58" t="s">
        <v>20</v>
      </c>
      <c r="C58">
        <v>1</v>
      </c>
      <c r="D58" t="s">
        <v>16</v>
      </c>
      <c r="E58">
        <v>25</v>
      </c>
      <c r="F58">
        <v>17</v>
      </c>
      <c r="G58" s="1">
        <v>45498</v>
      </c>
      <c r="H58" s="1">
        <v>45499</v>
      </c>
      <c r="I58">
        <v>175</v>
      </c>
      <c r="J58" s="2">
        <v>0.90100000000000002</v>
      </c>
      <c r="K58" t="s">
        <v>17</v>
      </c>
      <c r="L58" s="2">
        <v>0</v>
      </c>
      <c r="M58">
        <v>177</v>
      </c>
      <c r="N58" s="2">
        <v>9.8000000000000004E-2</v>
      </c>
    </row>
    <row r="59" spans="1:15" x14ac:dyDescent="0.2">
      <c r="A59">
        <v>2</v>
      </c>
      <c r="B59" t="s">
        <v>20</v>
      </c>
      <c r="C59">
        <v>1</v>
      </c>
      <c r="D59" t="s">
        <v>18</v>
      </c>
      <c r="E59">
        <v>25</v>
      </c>
      <c r="F59">
        <v>27</v>
      </c>
      <c r="G59" s="1">
        <v>45498</v>
      </c>
      <c r="H59" s="1">
        <v>45499</v>
      </c>
      <c r="I59">
        <v>178</v>
      </c>
      <c r="J59" s="2">
        <v>1.159</v>
      </c>
      <c r="K59" t="s">
        <v>17</v>
      </c>
      <c r="L59" s="2">
        <v>0</v>
      </c>
      <c r="M59">
        <v>180</v>
      </c>
      <c r="N59" s="2">
        <v>0.158</v>
      </c>
    </row>
    <row r="60" spans="1:15" x14ac:dyDescent="0.2">
      <c r="A60">
        <v>2</v>
      </c>
      <c r="B60" t="s">
        <v>20</v>
      </c>
      <c r="C60">
        <v>2</v>
      </c>
      <c r="D60" t="s">
        <v>16</v>
      </c>
      <c r="E60">
        <v>25</v>
      </c>
      <c r="F60">
        <v>10.5</v>
      </c>
      <c r="G60" s="1">
        <v>45498</v>
      </c>
      <c r="H60" s="1">
        <v>45502</v>
      </c>
      <c r="I60">
        <v>181</v>
      </c>
      <c r="J60" s="2">
        <v>0.56799999999999995</v>
      </c>
      <c r="K60" t="s">
        <v>17</v>
      </c>
      <c r="L60" s="2">
        <v>0</v>
      </c>
      <c r="M60">
        <v>183</v>
      </c>
      <c r="N60" s="2">
        <v>7.1999999999999995E-2</v>
      </c>
    </row>
    <row r="61" spans="1:15" x14ac:dyDescent="0.2">
      <c r="A61">
        <v>2</v>
      </c>
      <c r="B61" t="s">
        <v>20</v>
      </c>
      <c r="C61">
        <v>2</v>
      </c>
      <c r="D61" t="s">
        <v>18</v>
      </c>
      <c r="E61">
        <v>25</v>
      </c>
      <c r="F61">
        <v>10.5</v>
      </c>
      <c r="G61" s="1">
        <v>45498</v>
      </c>
      <c r="H61" s="1">
        <v>45502</v>
      </c>
      <c r="I61">
        <v>184</v>
      </c>
      <c r="J61" s="2">
        <v>0.30499999999999999</v>
      </c>
      <c r="K61" t="s">
        <v>17</v>
      </c>
      <c r="L61" s="2">
        <v>0</v>
      </c>
      <c r="M61">
        <v>186</v>
      </c>
      <c r="N61" s="2">
        <v>1.4999999999999999E-2</v>
      </c>
    </row>
    <row r="62" spans="1:15" x14ac:dyDescent="0.2">
      <c r="A62">
        <v>2</v>
      </c>
      <c r="B62" t="s">
        <v>20</v>
      </c>
      <c r="C62">
        <v>3</v>
      </c>
      <c r="D62" t="s">
        <v>16</v>
      </c>
      <c r="E62">
        <v>25</v>
      </c>
      <c r="F62">
        <v>23</v>
      </c>
      <c r="G62" s="1">
        <v>45498</v>
      </c>
      <c r="H62" s="1">
        <v>45499</v>
      </c>
      <c r="I62">
        <v>187</v>
      </c>
      <c r="J62" s="2">
        <v>2.9820000000000002</v>
      </c>
      <c r="K62">
        <v>188</v>
      </c>
      <c r="L62" s="2">
        <v>9.1999999999999998E-2</v>
      </c>
      <c r="M62" t="s">
        <v>17</v>
      </c>
      <c r="N62" s="2">
        <v>0</v>
      </c>
    </row>
    <row r="63" spans="1:15" x14ac:dyDescent="0.2">
      <c r="A63">
        <v>2</v>
      </c>
      <c r="B63" t="s">
        <v>20</v>
      </c>
      <c r="C63">
        <v>3</v>
      </c>
      <c r="D63" t="s">
        <v>18</v>
      </c>
      <c r="E63">
        <v>25</v>
      </c>
      <c r="F63" t="s">
        <v>17</v>
      </c>
      <c r="G63" s="1">
        <v>45498</v>
      </c>
      <c r="H63" t="s">
        <v>17</v>
      </c>
      <c r="I63" t="s">
        <v>17</v>
      </c>
      <c r="J63" s="2" t="s">
        <v>17</v>
      </c>
      <c r="K63" t="s">
        <v>17</v>
      </c>
      <c r="L63" s="2" t="s">
        <v>17</v>
      </c>
      <c r="M63" t="s">
        <v>17</v>
      </c>
      <c r="N63" s="2" t="s">
        <v>17</v>
      </c>
    </row>
    <row r="64" spans="1:15" x14ac:dyDescent="0.2">
      <c r="A64">
        <v>2</v>
      </c>
      <c r="B64" t="s">
        <v>20</v>
      </c>
      <c r="C64">
        <v>4</v>
      </c>
      <c r="D64" t="s">
        <v>16</v>
      </c>
      <c r="E64">
        <v>25</v>
      </c>
      <c r="F64">
        <v>12</v>
      </c>
      <c r="G64" s="1">
        <v>45498</v>
      </c>
      <c r="H64" s="1">
        <v>45499</v>
      </c>
      <c r="I64">
        <v>193</v>
      </c>
      <c r="J64" s="2">
        <v>2.7759999999999998</v>
      </c>
      <c r="K64">
        <v>194</v>
      </c>
      <c r="L64" s="2">
        <v>0.09</v>
      </c>
      <c r="M64" t="s">
        <v>17</v>
      </c>
      <c r="N64" s="2">
        <v>0</v>
      </c>
    </row>
    <row r="65" spans="1:14" x14ac:dyDescent="0.2">
      <c r="A65">
        <v>2</v>
      </c>
      <c r="B65" t="s">
        <v>20</v>
      </c>
      <c r="C65">
        <v>4</v>
      </c>
      <c r="D65" t="s">
        <v>18</v>
      </c>
      <c r="E65">
        <v>25</v>
      </c>
      <c r="F65">
        <v>14.5</v>
      </c>
      <c r="G65" s="1">
        <v>45498</v>
      </c>
      <c r="H65" s="1">
        <v>45502</v>
      </c>
      <c r="I65">
        <v>196</v>
      </c>
      <c r="J65" s="2">
        <v>0.76800000000000002</v>
      </c>
      <c r="K65" t="s">
        <v>17</v>
      </c>
      <c r="L65" s="2">
        <v>0</v>
      </c>
      <c r="M65">
        <v>198</v>
      </c>
      <c r="N65" s="2">
        <v>1.2999999999999999E-2</v>
      </c>
    </row>
    <row r="66" spans="1:14" x14ac:dyDescent="0.2">
      <c r="A66">
        <v>2</v>
      </c>
      <c r="B66" t="s">
        <v>23</v>
      </c>
      <c r="C66">
        <v>1</v>
      </c>
      <c r="D66" t="s">
        <v>16</v>
      </c>
      <c r="E66">
        <v>25</v>
      </c>
      <c r="F66">
        <v>21.5</v>
      </c>
      <c r="G66" s="1">
        <v>45498</v>
      </c>
      <c r="H66" s="1">
        <v>45500</v>
      </c>
      <c r="I66">
        <v>199</v>
      </c>
      <c r="J66" s="2">
        <v>1.151</v>
      </c>
      <c r="K66" t="s">
        <v>17</v>
      </c>
      <c r="L66" s="2">
        <v>0</v>
      </c>
      <c r="M66">
        <v>201</v>
      </c>
      <c r="N66" s="2">
        <v>7.8E-2</v>
      </c>
    </row>
    <row r="67" spans="1:14" x14ac:dyDescent="0.2">
      <c r="A67">
        <v>2</v>
      </c>
      <c r="B67" t="s">
        <v>23</v>
      </c>
      <c r="C67">
        <v>1</v>
      </c>
      <c r="D67" t="s">
        <v>18</v>
      </c>
      <c r="E67">
        <v>25</v>
      </c>
      <c r="F67" t="s">
        <v>17</v>
      </c>
      <c r="G67" s="1">
        <v>45498</v>
      </c>
      <c r="H67" t="s">
        <v>17</v>
      </c>
      <c r="I67" t="s">
        <v>17</v>
      </c>
      <c r="J67" s="2" t="s">
        <v>17</v>
      </c>
      <c r="K67" t="s">
        <v>17</v>
      </c>
      <c r="L67" s="2" t="s">
        <v>17</v>
      </c>
      <c r="M67" t="s">
        <v>17</v>
      </c>
      <c r="N67" s="2" t="s">
        <v>17</v>
      </c>
    </row>
    <row r="68" spans="1:14" x14ac:dyDescent="0.2">
      <c r="A68">
        <v>2</v>
      </c>
      <c r="B68" t="s">
        <v>23</v>
      </c>
      <c r="C68">
        <v>2</v>
      </c>
      <c r="D68" t="s">
        <v>16</v>
      </c>
      <c r="E68">
        <v>25</v>
      </c>
      <c r="F68">
        <v>20</v>
      </c>
      <c r="G68" s="1">
        <v>45498</v>
      </c>
      <c r="H68" s="1">
        <v>45500</v>
      </c>
      <c r="I68">
        <v>205</v>
      </c>
      <c r="J68" s="2">
        <v>1.86</v>
      </c>
      <c r="K68" t="s">
        <v>17</v>
      </c>
      <c r="L68" s="2">
        <v>0</v>
      </c>
      <c r="M68">
        <v>207</v>
      </c>
      <c r="N68" s="2">
        <v>5.2999999999999999E-2</v>
      </c>
    </row>
    <row r="69" spans="1:14" x14ac:dyDescent="0.2">
      <c r="A69">
        <v>2</v>
      </c>
      <c r="B69" t="s">
        <v>23</v>
      </c>
      <c r="C69">
        <v>2</v>
      </c>
      <c r="D69" t="s">
        <v>18</v>
      </c>
      <c r="E69">
        <v>25</v>
      </c>
      <c r="F69">
        <v>7</v>
      </c>
      <c r="G69" s="1">
        <v>45498</v>
      </c>
      <c r="H69" s="1">
        <v>45501</v>
      </c>
      <c r="I69">
        <v>208</v>
      </c>
      <c r="J69" s="2">
        <v>0.23899999999999999</v>
      </c>
      <c r="K69" t="s">
        <v>17</v>
      </c>
      <c r="L69" s="2">
        <v>0</v>
      </c>
      <c r="M69">
        <v>210</v>
      </c>
      <c r="N69" s="2">
        <v>8.0000000000000002E-3</v>
      </c>
    </row>
    <row r="70" spans="1:14" x14ac:dyDescent="0.2">
      <c r="A70">
        <v>2</v>
      </c>
      <c r="B70" t="s">
        <v>23</v>
      </c>
      <c r="C70">
        <v>3</v>
      </c>
      <c r="D70" t="s">
        <v>16</v>
      </c>
      <c r="E70">
        <v>25</v>
      </c>
      <c r="F70">
        <v>16</v>
      </c>
      <c r="G70" s="1">
        <v>45498</v>
      </c>
      <c r="H70" s="1">
        <v>45499</v>
      </c>
      <c r="I70">
        <v>211</v>
      </c>
      <c r="J70" s="2">
        <v>1.204</v>
      </c>
      <c r="K70" t="s">
        <v>17</v>
      </c>
      <c r="L70" s="2">
        <v>0</v>
      </c>
      <c r="M70">
        <v>213</v>
      </c>
      <c r="N70" s="2">
        <v>5.6000000000000001E-2</v>
      </c>
    </row>
    <row r="71" spans="1:14" x14ac:dyDescent="0.2">
      <c r="A71">
        <v>2</v>
      </c>
      <c r="B71" t="s">
        <v>23</v>
      </c>
      <c r="C71">
        <v>3</v>
      </c>
      <c r="D71" t="s">
        <v>18</v>
      </c>
      <c r="E71">
        <v>25</v>
      </c>
      <c r="F71">
        <v>21.5</v>
      </c>
      <c r="G71" s="1">
        <v>45498</v>
      </c>
      <c r="H71" s="1">
        <v>45500</v>
      </c>
      <c r="I71">
        <v>214</v>
      </c>
      <c r="J71" s="2">
        <v>0.17399999999999999</v>
      </c>
      <c r="K71" t="s">
        <v>17</v>
      </c>
      <c r="L71" s="2">
        <v>0</v>
      </c>
      <c r="M71">
        <v>216</v>
      </c>
      <c r="N71" s="2">
        <v>0.186</v>
      </c>
    </row>
    <row r="72" spans="1:14" x14ac:dyDescent="0.2">
      <c r="A72">
        <v>2</v>
      </c>
      <c r="B72" t="s">
        <v>23</v>
      </c>
      <c r="C72">
        <v>4</v>
      </c>
      <c r="D72" t="s">
        <v>16</v>
      </c>
      <c r="E72">
        <v>25</v>
      </c>
      <c r="F72">
        <v>21.5</v>
      </c>
      <c r="G72" s="1">
        <v>45498</v>
      </c>
      <c r="H72" s="1">
        <v>45500</v>
      </c>
      <c r="I72">
        <v>217</v>
      </c>
      <c r="J72" s="2">
        <v>2.2639999999999998</v>
      </c>
      <c r="K72" t="s">
        <v>17</v>
      </c>
      <c r="L72" s="2">
        <v>0</v>
      </c>
      <c r="M72">
        <v>219</v>
      </c>
      <c r="N72" s="2">
        <v>4.3999999999999997E-2</v>
      </c>
    </row>
    <row r="73" spans="1:14" x14ac:dyDescent="0.2">
      <c r="A73">
        <v>2</v>
      </c>
      <c r="B73" t="s">
        <v>23</v>
      </c>
      <c r="C73">
        <v>4</v>
      </c>
      <c r="D73" t="s">
        <v>18</v>
      </c>
      <c r="E73">
        <v>25</v>
      </c>
      <c r="F73" t="s">
        <v>17</v>
      </c>
      <c r="G73" s="1">
        <v>45498</v>
      </c>
      <c r="H73" t="s">
        <v>17</v>
      </c>
      <c r="I73" t="s">
        <v>17</v>
      </c>
      <c r="J73" s="2" t="s">
        <v>17</v>
      </c>
      <c r="K73" t="s">
        <v>17</v>
      </c>
      <c r="L73" s="2" t="s">
        <v>17</v>
      </c>
      <c r="M73" t="s">
        <v>17</v>
      </c>
      <c r="N73" s="2" t="s">
        <v>17</v>
      </c>
    </row>
    <row r="74" spans="1:14" x14ac:dyDescent="0.2">
      <c r="A74">
        <v>2</v>
      </c>
      <c r="B74" t="s">
        <v>25</v>
      </c>
      <c r="C74">
        <v>1</v>
      </c>
      <c r="D74" t="s">
        <v>16</v>
      </c>
      <c r="E74">
        <v>25</v>
      </c>
      <c r="F74">
        <v>18.5</v>
      </c>
      <c r="G74" s="1">
        <v>45498</v>
      </c>
      <c r="H74" s="1">
        <v>45499</v>
      </c>
      <c r="I74">
        <v>223</v>
      </c>
      <c r="J74" s="2">
        <v>1.8759999999999999</v>
      </c>
      <c r="K74" t="s">
        <v>17</v>
      </c>
      <c r="L74" s="2">
        <v>0</v>
      </c>
      <c r="M74">
        <v>225</v>
      </c>
      <c r="N74" s="2">
        <v>0.17399999999999999</v>
      </c>
    </row>
    <row r="75" spans="1:14" x14ac:dyDescent="0.2">
      <c r="A75">
        <v>2</v>
      </c>
      <c r="B75" t="s">
        <v>25</v>
      </c>
      <c r="C75">
        <v>1</v>
      </c>
      <c r="D75" t="s">
        <v>18</v>
      </c>
      <c r="E75">
        <v>25</v>
      </c>
      <c r="F75">
        <v>12</v>
      </c>
      <c r="G75" s="1">
        <v>45498</v>
      </c>
      <c r="H75" s="1">
        <v>45501</v>
      </c>
      <c r="I75">
        <v>226</v>
      </c>
      <c r="J75" s="2">
        <v>0.32800000000000001</v>
      </c>
      <c r="K75" t="s">
        <v>17</v>
      </c>
      <c r="L75" s="2">
        <v>0</v>
      </c>
      <c r="M75">
        <v>228</v>
      </c>
      <c r="N75" s="2">
        <v>9.7000000000000003E-2</v>
      </c>
    </row>
    <row r="76" spans="1:14" x14ac:dyDescent="0.2">
      <c r="A76">
        <v>2</v>
      </c>
      <c r="B76" t="s">
        <v>25</v>
      </c>
      <c r="C76">
        <v>2</v>
      </c>
      <c r="D76" t="s">
        <v>16</v>
      </c>
      <c r="E76">
        <v>25</v>
      </c>
      <c r="F76">
        <v>15.5</v>
      </c>
      <c r="G76" s="1">
        <v>45498</v>
      </c>
      <c r="H76" s="1">
        <v>45500</v>
      </c>
      <c r="I76">
        <v>229</v>
      </c>
      <c r="J76" s="2">
        <v>0.61499999999999999</v>
      </c>
      <c r="K76" t="s">
        <v>17</v>
      </c>
      <c r="L76" s="2">
        <v>0</v>
      </c>
      <c r="M76">
        <v>231</v>
      </c>
      <c r="N76" s="2">
        <v>8.9999999999999993E-3</v>
      </c>
    </row>
    <row r="77" spans="1:14" x14ac:dyDescent="0.2">
      <c r="A77">
        <v>2</v>
      </c>
      <c r="B77" t="s">
        <v>25</v>
      </c>
      <c r="C77">
        <v>2</v>
      </c>
      <c r="D77" t="s">
        <v>18</v>
      </c>
      <c r="E77">
        <v>25</v>
      </c>
      <c r="F77">
        <v>5</v>
      </c>
      <c r="G77" s="1">
        <v>45498</v>
      </c>
      <c r="H77" s="1">
        <v>45501</v>
      </c>
      <c r="I77">
        <v>232</v>
      </c>
      <c r="J77" s="2">
        <v>7.4999999999999997E-2</v>
      </c>
      <c r="K77" t="s">
        <v>17</v>
      </c>
      <c r="L77" s="2">
        <v>0</v>
      </c>
      <c r="M77">
        <v>234</v>
      </c>
      <c r="N77" s="2">
        <v>1E-3</v>
      </c>
    </row>
    <row r="78" spans="1:14" x14ac:dyDescent="0.2">
      <c r="A78">
        <v>2</v>
      </c>
      <c r="B78" t="s">
        <v>25</v>
      </c>
      <c r="C78">
        <v>3</v>
      </c>
      <c r="D78" t="s">
        <v>16</v>
      </c>
      <c r="E78">
        <v>25</v>
      </c>
      <c r="F78">
        <v>12.5</v>
      </c>
      <c r="G78" s="1">
        <v>45498</v>
      </c>
      <c r="H78" s="1">
        <v>45500</v>
      </c>
      <c r="I78">
        <v>235</v>
      </c>
      <c r="J78" s="2">
        <v>1.268</v>
      </c>
      <c r="K78" t="s">
        <v>17</v>
      </c>
      <c r="L78" s="2">
        <v>0</v>
      </c>
      <c r="M78">
        <v>237</v>
      </c>
      <c r="N78" s="2">
        <v>5.2999999999999999E-2</v>
      </c>
    </row>
    <row r="79" spans="1:14" x14ac:dyDescent="0.2">
      <c r="A79">
        <v>2</v>
      </c>
      <c r="B79" t="s">
        <v>25</v>
      </c>
      <c r="C79">
        <v>3</v>
      </c>
      <c r="D79" t="s">
        <v>18</v>
      </c>
      <c r="E79">
        <v>25</v>
      </c>
      <c r="F79">
        <v>13.5</v>
      </c>
      <c r="G79" s="1">
        <v>45498</v>
      </c>
      <c r="H79" s="1">
        <v>45500</v>
      </c>
      <c r="I79">
        <v>238</v>
      </c>
      <c r="J79" s="2">
        <v>0.36299999999999999</v>
      </c>
      <c r="K79" t="s">
        <v>17</v>
      </c>
      <c r="L79" s="2">
        <v>0</v>
      </c>
      <c r="M79" t="s">
        <v>17</v>
      </c>
      <c r="N79" s="2">
        <v>0</v>
      </c>
    </row>
    <row r="80" spans="1:14" x14ac:dyDescent="0.2">
      <c r="A80">
        <v>2</v>
      </c>
      <c r="B80" t="s">
        <v>25</v>
      </c>
      <c r="C80">
        <v>4</v>
      </c>
      <c r="D80" t="s">
        <v>16</v>
      </c>
      <c r="E80">
        <v>25</v>
      </c>
      <c r="F80">
        <v>17</v>
      </c>
      <c r="G80" s="1">
        <v>45498</v>
      </c>
      <c r="H80" s="1">
        <v>45500</v>
      </c>
      <c r="I80">
        <v>241</v>
      </c>
      <c r="J80" s="2">
        <v>1.3819999999999999</v>
      </c>
      <c r="K80" t="s">
        <v>17</v>
      </c>
      <c r="L80" s="2">
        <v>0</v>
      </c>
      <c r="M80" t="s">
        <v>17</v>
      </c>
      <c r="N80" s="2">
        <v>0</v>
      </c>
    </row>
    <row r="81" spans="1:14" x14ac:dyDescent="0.2">
      <c r="A81">
        <v>2</v>
      </c>
      <c r="B81" t="s">
        <v>25</v>
      </c>
      <c r="C81">
        <v>4</v>
      </c>
      <c r="D81" t="s">
        <v>18</v>
      </c>
      <c r="E81">
        <v>25</v>
      </c>
      <c r="F81" t="s">
        <v>17</v>
      </c>
      <c r="G81" s="1">
        <v>45498</v>
      </c>
      <c r="H81" t="s">
        <v>17</v>
      </c>
      <c r="I81" t="s">
        <v>17</v>
      </c>
      <c r="J81" s="2" t="s">
        <v>17</v>
      </c>
      <c r="K81" t="s">
        <v>17</v>
      </c>
      <c r="L81" s="2" t="s">
        <v>17</v>
      </c>
      <c r="M81" t="s">
        <v>17</v>
      </c>
      <c r="N81" s="2" t="s">
        <v>17</v>
      </c>
    </row>
    <row r="82" spans="1:14" x14ac:dyDescent="0.2">
      <c r="A82">
        <v>2</v>
      </c>
      <c r="B82" t="s">
        <v>26</v>
      </c>
      <c r="C82">
        <v>1</v>
      </c>
      <c r="D82" t="s">
        <v>16</v>
      </c>
      <c r="E82">
        <v>25</v>
      </c>
      <c r="F82">
        <v>9</v>
      </c>
      <c r="G82" s="1">
        <v>45498</v>
      </c>
      <c r="H82" s="1">
        <v>45499</v>
      </c>
      <c r="I82">
        <v>247</v>
      </c>
      <c r="J82" s="2">
        <v>0.77300000000000002</v>
      </c>
      <c r="K82" t="s">
        <v>17</v>
      </c>
      <c r="L82" s="2">
        <v>0</v>
      </c>
      <c r="M82" t="s">
        <v>17</v>
      </c>
      <c r="N82" s="2">
        <v>0</v>
      </c>
    </row>
    <row r="83" spans="1:14" x14ac:dyDescent="0.2">
      <c r="A83">
        <v>2</v>
      </c>
      <c r="B83" t="s">
        <v>26</v>
      </c>
      <c r="C83">
        <v>1</v>
      </c>
      <c r="D83" t="s">
        <v>18</v>
      </c>
      <c r="E83">
        <v>25</v>
      </c>
      <c r="F83">
        <v>3</v>
      </c>
      <c r="G83" s="1">
        <v>45498</v>
      </c>
      <c r="H83" s="1">
        <v>45500</v>
      </c>
      <c r="I83" t="s">
        <v>17</v>
      </c>
      <c r="J83" s="2">
        <v>0</v>
      </c>
      <c r="K83" t="s">
        <v>17</v>
      </c>
      <c r="L83" s="2">
        <v>0</v>
      </c>
      <c r="M83" t="s">
        <v>17</v>
      </c>
      <c r="N83" s="2">
        <v>0</v>
      </c>
    </row>
    <row r="84" spans="1:14" x14ac:dyDescent="0.2">
      <c r="A84">
        <v>2</v>
      </c>
      <c r="B84" t="s">
        <v>26</v>
      </c>
      <c r="C84">
        <v>2</v>
      </c>
      <c r="D84" t="s">
        <v>16</v>
      </c>
      <c r="E84">
        <v>25</v>
      </c>
      <c r="F84">
        <v>11.5</v>
      </c>
      <c r="G84" s="1">
        <v>45498</v>
      </c>
      <c r="H84" s="1">
        <v>45499</v>
      </c>
      <c r="I84">
        <v>253</v>
      </c>
      <c r="J84" s="2">
        <v>1.716</v>
      </c>
      <c r="K84" t="s">
        <v>17</v>
      </c>
      <c r="L84" s="2">
        <v>0</v>
      </c>
      <c r="M84" t="s">
        <v>17</v>
      </c>
      <c r="N84" s="2">
        <v>0</v>
      </c>
    </row>
    <row r="85" spans="1:14" x14ac:dyDescent="0.2">
      <c r="A85">
        <v>2</v>
      </c>
      <c r="B85" t="s">
        <v>26</v>
      </c>
      <c r="C85">
        <v>2</v>
      </c>
      <c r="D85" t="s">
        <v>18</v>
      </c>
      <c r="E85">
        <v>25</v>
      </c>
      <c r="F85">
        <v>14</v>
      </c>
      <c r="G85" s="1">
        <v>45498</v>
      </c>
      <c r="H85" s="1">
        <v>45501</v>
      </c>
      <c r="I85">
        <v>256</v>
      </c>
      <c r="J85" s="2">
        <v>1.266</v>
      </c>
      <c r="K85" t="s">
        <v>17</v>
      </c>
      <c r="L85" s="2">
        <v>0</v>
      </c>
      <c r="M85">
        <v>258</v>
      </c>
      <c r="N85" s="2">
        <v>1.7000000000000001E-2</v>
      </c>
    </row>
    <row r="86" spans="1:14" x14ac:dyDescent="0.2">
      <c r="A86">
        <v>2</v>
      </c>
      <c r="B86" t="s">
        <v>26</v>
      </c>
      <c r="C86">
        <v>3</v>
      </c>
      <c r="D86" t="s">
        <v>16</v>
      </c>
      <c r="E86">
        <v>25</v>
      </c>
      <c r="F86">
        <v>14</v>
      </c>
      <c r="G86" s="1">
        <v>45498</v>
      </c>
      <c r="H86" s="1">
        <v>45499</v>
      </c>
      <c r="I86">
        <v>259</v>
      </c>
      <c r="J86" s="2">
        <v>0.79600000000000004</v>
      </c>
      <c r="K86" t="s">
        <v>17</v>
      </c>
      <c r="L86" s="2">
        <v>0</v>
      </c>
      <c r="M86" t="s">
        <v>17</v>
      </c>
      <c r="N86" s="2">
        <v>0</v>
      </c>
    </row>
    <row r="87" spans="1:14" x14ac:dyDescent="0.2">
      <c r="A87">
        <v>2</v>
      </c>
      <c r="B87" t="s">
        <v>26</v>
      </c>
      <c r="C87">
        <v>3</v>
      </c>
      <c r="D87" t="s">
        <v>18</v>
      </c>
      <c r="E87">
        <v>25</v>
      </c>
      <c r="F87">
        <v>18</v>
      </c>
      <c r="G87" s="1">
        <v>45498</v>
      </c>
      <c r="H87" s="1">
        <v>45499</v>
      </c>
      <c r="I87">
        <v>262</v>
      </c>
      <c r="J87" s="2">
        <v>1.7270000000000001</v>
      </c>
      <c r="K87" t="s">
        <v>17</v>
      </c>
      <c r="L87" s="2">
        <v>0</v>
      </c>
      <c r="M87">
        <v>264</v>
      </c>
      <c r="N87" s="2">
        <v>6.0000000000000001E-3</v>
      </c>
    </row>
    <row r="88" spans="1:14" x14ac:dyDescent="0.2">
      <c r="A88">
        <v>2</v>
      </c>
      <c r="B88" t="s">
        <v>26</v>
      </c>
      <c r="C88">
        <v>4</v>
      </c>
      <c r="D88" t="s">
        <v>16</v>
      </c>
      <c r="E88">
        <v>25</v>
      </c>
      <c r="F88">
        <v>11</v>
      </c>
      <c r="G88" s="1">
        <v>45498</v>
      </c>
      <c r="H88" s="1">
        <v>45499</v>
      </c>
      <c r="I88">
        <v>265</v>
      </c>
      <c r="J88" s="2">
        <v>1.278</v>
      </c>
      <c r="K88" t="s">
        <v>17</v>
      </c>
      <c r="L88" s="2">
        <v>0</v>
      </c>
      <c r="M88" t="s">
        <v>17</v>
      </c>
      <c r="N88" s="2">
        <v>0</v>
      </c>
    </row>
    <row r="89" spans="1:14" x14ac:dyDescent="0.2">
      <c r="A89">
        <v>2</v>
      </c>
      <c r="B89" t="s">
        <v>26</v>
      </c>
      <c r="C89">
        <v>4</v>
      </c>
      <c r="D89" t="s">
        <v>18</v>
      </c>
      <c r="E89">
        <v>25</v>
      </c>
      <c r="F89">
        <v>9.5</v>
      </c>
      <c r="G89" s="1">
        <v>45498</v>
      </c>
      <c r="H89" s="1">
        <v>45499</v>
      </c>
      <c r="I89">
        <v>268</v>
      </c>
      <c r="J89" s="2">
        <v>1.095</v>
      </c>
      <c r="K89" t="s">
        <v>17</v>
      </c>
      <c r="L89" s="2">
        <v>0</v>
      </c>
      <c r="M89">
        <v>270</v>
      </c>
      <c r="N89" s="2">
        <v>8.0000000000000002E-3</v>
      </c>
    </row>
    <row r="90" spans="1:14" x14ac:dyDescent="0.2">
      <c r="A90">
        <v>2</v>
      </c>
      <c r="B90" t="s">
        <v>27</v>
      </c>
      <c r="C90">
        <v>1</v>
      </c>
      <c r="D90" t="s">
        <v>16</v>
      </c>
      <c r="E90">
        <v>25</v>
      </c>
      <c r="F90">
        <v>16</v>
      </c>
      <c r="G90" s="1">
        <v>45499</v>
      </c>
      <c r="H90" s="1">
        <v>45500</v>
      </c>
      <c r="I90">
        <v>271</v>
      </c>
      <c r="J90" s="2">
        <v>1.1000000000000001</v>
      </c>
      <c r="K90" t="s">
        <v>17</v>
      </c>
      <c r="L90" s="2">
        <v>0</v>
      </c>
      <c r="M90" t="s">
        <v>17</v>
      </c>
      <c r="N90" s="2">
        <v>0</v>
      </c>
    </row>
    <row r="91" spans="1:14" x14ac:dyDescent="0.2">
      <c r="A91">
        <v>2</v>
      </c>
      <c r="B91" t="s">
        <v>27</v>
      </c>
      <c r="C91">
        <v>1</v>
      </c>
      <c r="D91" t="s">
        <v>18</v>
      </c>
      <c r="E91">
        <v>25</v>
      </c>
      <c r="F91">
        <v>5.5</v>
      </c>
      <c r="G91" s="1">
        <v>45499</v>
      </c>
      <c r="H91" s="1">
        <v>45501</v>
      </c>
      <c r="I91">
        <v>274</v>
      </c>
      <c r="J91" s="2">
        <v>0.32900000000000001</v>
      </c>
      <c r="K91" t="s">
        <v>17</v>
      </c>
      <c r="L91" s="2">
        <v>0</v>
      </c>
      <c r="M91" t="s">
        <v>17</v>
      </c>
      <c r="N91" s="2">
        <v>0</v>
      </c>
    </row>
    <row r="92" spans="1:14" x14ac:dyDescent="0.2">
      <c r="A92">
        <v>2</v>
      </c>
      <c r="B92" t="s">
        <v>27</v>
      </c>
      <c r="C92">
        <v>2</v>
      </c>
      <c r="D92" t="s">
        <v>16</v>
      </c>
      <c r="E92">
        <v>25</v>
      </c>
      <c r="F92">
        <v>10.5</v>
      </c>
      <c r="G92" s="1">
        <v>45499</v>
      </c>
      <c r="H92" s="1">
        <v>45500</v>
      </c>
      <c r="I92">
        <v>277</v>
      </c>
      <c r="J92" s="2">
        <v>1.2689999999999999</v>
      </c>
      <c r="K92" t="s">
        <v>17</v>
      </c>
      <c r="L92" s="2">
        <v>0</v>
      </c>
      <c r="M92" t="s">
        <v>17</v>
      </c>
      <c r="N92" s="2">
        <v>0</v>
      </c>
    </row>
    <row r="93" spans="1:14" x14ac:dyDescent="0.2">
      <c r="A93">
        <v>2</v>
      </c>
      <c r="B93" t="s">
        <v>27</v>
      </c>
      <c r="C93">
        <v>2</v>
      </c>
      <c r="D93" t="s">
        <v>18</v>
      </c>
      <c r="E93">
        <v>25</v>
      </c>
      <c r="F93">
        <v>11.5</v>
      </c>
      <c r="G93" s="1">
        <v>45499</v>
      </c>
      <c r="H93" s="1">
        <v>45500</v>
      </c>
      <c r="I93">
        <v>280</v>
      </c>
      <c r="J93" s="2">
        <v>1.1060000000000001</v>
      </c>
      <c r="K93" t="s">
        <v>17</v>
      </c>
      <c r="L93" s="2">
        <v>0</v>
      </c>
      <c r="M93" t="s">
        <v>17</v>
      </c>
      <c r="N93" s="2">
        <v>0</v>
      </c>
    </row>
    <row r="94" spans="1:14" x14ac:dyDescent="0.2">
      <c r="A94">
        <v>2</v>
      </c>
      <c r="B94" t="s">
        <v>27</v>
      </c>
      <c r="C94">
        <v>3</v>
      </c>
      <c r="D94" t="s">
        <v>16</v>
      </c>
      <c r="E94">
        <v>25</v>
      </c>
      <c r="F94">
        <v>3</v>
      </c>
      <c r="G94" s="1">
        <v>45499</v>
      </c>
      <c r="H94" s="1">
        <v>45500</v>
      </c>
      <c r="I94">
        <v>283</v>
      </c>
      <c r="J94" s="2">
        <v>1.022</v>
      </c>
      <c r="K94" t="s">
        <v>17</v>
      </c>
      <c r="L94" s="2">
        <v>0</v>
      </c>
      <c r="M94" t="s">
        <v>17</v>
      </c>
      <c r="N94" s="2">
        <v>0</v>
      </c>
    </row>
    <row r="95" spans="1:14" x14ac:dyDescent="0.2">
      <c r="A95">
        <v>2</v>
      </c>
      <c r="B95" t="s">
        <v>27</v>
      </c>
      <c r="C95">
        <v>3</v>
      </c>
      <c r="D95" t="s">
        <v>18</v>
      </c>
      <c r="E95">
        <v>25</v>
      </c>
      <c r="F95">
        <v>18</v>
      </c>
      <c r="G95" s="1">
        <v>45499</v>
      </c>
      <c r="H95" s="1">
        <v>45501</v>
      </c>
      <c r="I95">
        <v>286</v>
      </c>
      <c r="J95" s="2">
        <v>0.48599999999999999</v>
      </c>
      <c r="K95" t="s">
        <v>17</v>
      </c>
      <c r="L95" s="2">
        <v>0</v>
      </c>
      <c r="M95">
        <v>288</v>
      </c>
      <c r="N95" s="2">
        <v>5.0000000000000001E-3</v>
      </c>
    </row>
    <row r="96" spans="1:14" x14ac:dyDescent="0.2">
      <c r="A96">
        <v>2</v>
      </c>
      <c r="B96" t="s">
        <v>27</v>
      </c>
      <c r="C96">
        <v>4</v>
      </c>
      <c r="D96" t="s">
        <v>16</v>
      </c>
      <c r="E96">
        <v>25</v>
      </c>
      <c r="F96">
        <v>10</v>
      </c>
      <c r="G96" s="1">
        <v>45499</v>
      </c>
      <c r="H96" s="1">
        <v>45500</v>
      </c>
      <c r="I96">
        <v>289</v>
      </c>
      <c r="J96" s="2">
        <v>1.4950000000000001</v>
      </c>
      <c r="K96" t="s">
        <v>17</v>
      </c>
      <c r="L96" s="2">
        <v>0</v>
      </c>
      <c r="M96" t="s">
        <v>17</v>
      </c>
      <c r="N96" s="2">
        <v>0</v>
      </c>
    </row>
    <row r="97" spans="1:14" x14ac:dyDescent="0.2">
      <c r="A97">
        <v>2</v>
      </c>
      <c r="B97" t="s">
        <v>27</v>
      </c>
      <c r="C97">
        <v>4</v>
      </c>
      <c r="D97" t="s">
        <v>18</v>
      </c>
      <c r="E97">
        <v>25</v>
      </c>
      <c r="F97">
        <v>19.5</v>
      </c>
      <c r="G97" s="1">
        <v>45499</v>
      </c>
      <c r="H97" s="1">
        <v>45501</v>
      </c>
      <c r="I97">
        <v>292</v>
      </c>
      <c r="J97" s="2">
        <v>0.254</v>
      </c>
      <c r="K97" t="s">
        <v>17</v>
      </c>
      <c r="L97" s="2">
        <v>0</v>
      </c>
      <c r="M97" t="s">
        <v>17</v>
      </c>
      <c r="N97" s="2">
        <v>0</v>
      </c>
    </row>
    <row r="98" spans="1:14" x14ac:dyDescent="0.2">
      <c r="A98">
        <v>3</v>
      </c>
      <c r="B98" t="s">
        <v>15</v>
      </c>
      <c r="C98">
        <v>1</v>
      </c>
      <c r="D98" t="s">
        <v>16</v>
      </c>
      <c r="E98">
        <v>25</v>
      </c>
      <c r="F98">
        <v>10</v>
      </c>
      <c r="G98" s="1">
        <v>45499</v>
      </c>
      <c r="H98" s="1">
        <v>45500</v>
      </c>
      <c r="I98">
        <v>301</v>
      </c>
      <c r="J98" s="2">
        <v>0.52</v>
      </c>
      <c r="K98" t="s">
        <v>17</v>
      </c>
      <c r="L98" s="2">
        <v>0</v>
      </c>
      <c r="M98">
        <v>303</v>
      </c>
      <c r="N98" s="2">
        <v>0.14899999999999999</v>
      </c>
    </row>
    <row r="99" spans="1:14" x14ac:dyDescent="0.2">
      <c r="A99">
        <v>3</v>
      </c>
      <c r="B99" t="s">
        <v>15</v>
      </c>
      <c r="C99">
        <v>1</v>
      </c>
      <c r="D99" t="s">
        <v>18</v>
      </c>
      <c r="E99">
        <v>25</v>
      </c>
      <c r="F99">
        <v>22</v>
      </c>
      <c r="G99" s="1">
        <v>45499</v>
      </c>
      <c r="H99" s="1">
        <v>45501</v>
      </c>
      <c r="I99">
        <v>304</v>
      </c>
      <c r="J99" s="2">
        <v>8.6999999999999994E-2</v>
      </c>
      <c r="K99" t="s">
        <v>17</v>
      </c>
      <c r="L99" s="2">
        <v>0</v>
      </c>
      <c r="M99">
        <v>306</v>
      </c>
      <c r="N99" s="2">
        <v>0.31</v>
      </c>
    </row>
    <row r="100" spans="1:14" x14ac:dyDescent="0.2">
      <c r="A100">
        <v>3</v>
      </c>
      <c r="B100" t="s">
        <v>15</v>
      </c>
      <c r="C100">
        <v>2</v>
      </c>
      <c r="D100" t="s">
        <v>16</v>
      </c>
      <c r="E100">
        <v>25</v>
      </c>
      <c r="F100">
        <v>2.5</v>
      </c>
      <c r="G100" s="1">
        <v>45499</v>
      </c>
      <c r="H100" s="1">
        <v>45500</v>
      </c>
      <c r="I100">
        <v>307</v>
      </c>
      <c r="J100" s="2">
        <v>0.22</v>
      </c>
      <c r="K100" t="s">
        <v>17</v>
      </c>
      <c r="L100" s="2">
        <v>0</v>
      </c>
      <c r="M100">
        <v>309</v>
      </c>
      <c r="N100" s="2">
        <v>1.2999999999999999E-2</v>
      </c>
    </row>
    <row r="101" spans="1:14" x14ac:dyDescent="0.2">
      <c r="A101">
        <v>3</v>
      </c>
      <c r="B101" t="s">
        <v>15</v>
      </c>
      <c r="C101">
        <v>2</v>
      </c>
      <c r="D101" t="s">
        <v>18</v>
      </c>
      <c r="E101">
        <v>25</v>
      </c>
      <c r="F101">
        <v>17</v>
      </c>
      <c r="G101" s="1">
        <v>45499</v>
      </c>
      <c r="H101" s="1">
        <v>45501</v>
      </c>
      <c r="I101">
        <v>310</v>
      </c>
      <c r="J101" s="2">
        <v>0.91</v>
      </c>
      <c r="K101" t="s">
        <v>17</v>
      </c>
      <c r="L101" s="2">
        <v>0</v>
      </c>
      <c r="M101">
        <v>312</v>
      </c>
      <c r="N101" s="2">
        <v>0.14000000000000001</v>
      </c>
    </row>
    <row r="102" spans="1:14" x14ac:dyDescent="0.2">
      <c r="A102">
        <v>3</v>
      </c>
      <c r="B102" t="s">
        <v>15</v>
      </c>
      <c r="C102">
        <v>3</v>
      </c>
      <c r="D102" t="s">
        <v>16</v>
      </c>
      <c r="E102">
        <v>25</v>
      </c>
      <c r="F102">
        <v>19</v>
      </c>
      <c r="G102" s="1">
        <v>45499</v>
      </c>
      <c r="H102" s="1">
        <v>45500</v>
      </c>
      <c r="I102">
        <v>313</v>
      </c>
      <c r="J102" s="2">
        <v>1.454</v>
      </c>
      <c r="K102" t="s">
        <v>17</v>
      </c>
      <c r="L102" s="2">
        <v>0</v>
      </c>
      <c r="M102" t="s">
        <v>17</v>
      </c>
      <c r="N102" s="2">
        <v>0</v>
      </c>
    </row>
    <row r="103" spans="1:14" x14ac:dyDescent="0.2">
      <c r="A103">
        <v>3</v>
      </c>
      <c r="B103" t="s">
        <v>15</v>
      </c>
      <c r="C103">
        <v>3</v>
      </c>
      <c r="D103" t="s">
        <v>18</v>
      </c>
      <c r="E103">
        <v>25</v>
      </c>
      <c r="F103">
        <v>18</v>
      </c>
      <c r="G103" s="1">
        <v>45499</v>
      </c>
      <c r="H103" s="1">
        <v>45500</v>
      </c>
      <c r="I103">
        <v>316</v>
      </c>
      <c r="J103" s="2">
        <v>0.29699999999999999</v>
      </c>
      <c r="K103" t="s">
        <v>17</v>
      </c>
      <c r="L103" s="2">
        <v>0</v>
      </c>
      <c r="M103" t="s">
        <v>17</v>
      </c>
      <c r="N103" s="2">
        <v>0</v>
      </c>
    </row>
    <row r="104" spans="1:14" x14ac:dyDescent="0.2">
      <c r="A104">
        <v>3</v>
      </c>
      <c r="B104" t="s">
        <v>15</v>
      </c>
      <c r="C104">
        <v>4</v>
      </c>
      <c r="D104" t="s">
        <v>16</v>
      </c>
      <c r="E104">
        <v>25</v>
      </c>
      <c r="F104">
        <v>17.5</v>
      </c>
      <c r="G104" s="1">
        <v>45499</v>
      </c>
      <c r="H104" s="1">
        <v>45502</v>
      </c>
      <c r="I104">
        <v>319</v>
      </c>
      <c r="J104" s="2">
        <v>4.843</v>
      </c>
      <c r="K104">
        <v>320</v>
      </c>
      <c r="L104" s="2">
        <v>2.1999999999999999E-2</v>
      </c>
      <c r="M104" t="s">
        <v>17</v>
      </c>
      <c r="N104" s="2">
        <v>0</v>
      </c>
    </row>
    <row r="105" spans="1:14" x14ac:dyDescent="0.2">
      <c r="A105">
        <v>3</v>
      </c>
      <c r="B105" t="s">
        <v>15</v>
      </c>
      <c r="C105">
        <v>4</v>
      </c>
      <c r="D105" t="s">
        <v>18</v>
      </c>
      <c r="E105">
        <v>25</v>
      </c>
      <c r="F105" t="s">
        <v>17</v>
      </c>
      <c r="G105" s="1">
        <v>45499</v>
      </c>
      <c r="H105" t="s">
        <v>17</v>
      </c>
      <c r="I105" t="s">
        <v>17</v>
      </c>
      <c r="J105" s="2" t="s">
        <v>17</v>
      </c>
      <c r="K105" t="s">
        <v>17</v>
      </c>
      <c r="L105" s="2" t="s">
        <v>17</v>
      </c>
      <c r="M105" t="s">
        <v>17</v>
      </c>
      <c r="N105" s="2" t="s">
        <v>17</v>
      </c>
    </row>
    <row r="106" spans="1:14" x14ac:dyDescent="0.2">
      <c r="A106">
        <v>3</v>
      </c>
      <c r="B106" t="s">
        <v>20</v>
      </c>
      <c r="C106">
        <v>1</v>
      </c>
      <c r="D106" t="s">
        <v>16</v>
      </c>
      <c r="E106">
        <v>25</v>
      </c>
      <c r="F106">
        <v>14.5</v>
      </c>
      <c r="G106" s="1">
        <v>45499</v>
      </c>
      <c r="H106" s="1">
        <v>45502</v>
      </c>
      <c r="I106">
        <v>325</v>
      </c>
      <c r="J106" s="2">
        <v>1.149</v>
      </c>
      <c r="K106" t="s">
        <v>17</v>
      </c>
      <c r="L106" s="2">
        <v>0</v>
      </c>
      <c r="M106">
        <v>327</v>
      </c>
      <c r="N106" s="2">
        <v>2E-3</v>
      </c>
    </row>
    <row r="107" spans="1:14" x14ac:dyDescent="0.2">
      <c r="A107">
        <v>3</v>
      </c>
      <c r="B107" t="s">
        <v>20</v>
      </c>
      <c r="C107">
        <v>1</v>
      </c>
      <c r="D107" t="s">
        <v>18</v>
      </c>
      <c r="E107">
        <v>25</v>
      </c>
      <c r="F107">
        <v>15</v>
      </c>
      <c r="G107" s="1">
        <v>45499</v>
      </c>
      <c r="H107" s="1">
        <v>45502</v>
      </c>
      <c r="I107">
        <v>328</v>
      </c>
      <c r="J107" s="2">
        <v>0.56200000000000006</v>
      </c>
      <c r="K107" t="s">
        <v>17</v>
      </c>
      <c r="L107" s="2">
        <v>0</v>
      </c>
      <c r="M107">
        <v>330</v>
      </c>
      <c r="N107" s="2">
        <v>2.4E-2</v>
      </c>
    </row>
    <row r="108" spans="1:14" x14ac:dyDescent="0.2">
      <c r="A108">
        <v>3</v>
      </c>
      <c r="B108" t="s">
        <v>20</v>
      </c>
      <c r="C108">
        <v>2</v>
      </c>
      <c r="D108" t="s">
        <v>16</v>
      </c>
      <c r="E108">
        <v>25</v>
      </c>
      <c r="F108">
        <v>8</v>
      </c>
      <c r="G108" s="1">
        <v>45499</v>
      </c>
      <c r="H108" s="1">
        <v>45502</v>
      </c>
      <c r="I108">
        <v>331</v>
      </c>
      <c r="J108" s="2">
        <v>0.72499999999999998</v>
      </c>
      <c r="K108">
        <v>332</v>
      </c>
      <c r="L108" s="2">
        <v>0.14799999999999999</v>
      </c>
      <c r="M108" t="s">
        <v>17</v>
      </c>
      <c r="N108" s="2">
        <v>0</v>
      </c>
    </row>
    <row r="109" spans="1:14" x14ac:dyDescent="0.2">
      <c r="A109">
        <v>3</v>
      </c>
      <c r="B109" t="s">
        <v>20</v>
      </c>
      <c r="C109">
        <v>2</v>
      </c>
      <c r="D109" t="s">
        <v>18</v>
      </c>
      <c r="E109">
        <v>25</v>
      </c>
      <c r="F109">
        <v>14.5</v>
      </c>
      <c r="G109" s="1">
        <v>45499</v>
      </c>
      <c r="H109" s="1">
        <v>45502</v>
      </c>
      <c r="I109">
        <v>334</v>
      </c>
      <c r="J109" s="2">
        <v>8.4000000000000005E-2</v>
      </c>
      <c r="K109" t="s">
        <v>17</v>
      </c>
      <c r="L109" s="2">
        <v>0</v>
      </c>
      <c r="M109">
        <v>336</v>
      </c>
      <c r="N109" s="2">
        <v>2E-3</v>
      </c>
    </row>
    <row r="110" spans="1:14" x14ac:dyDescent="0.2">
      <c r="A110">
        <v>3</v>
      </c>
      <c r="B110" t="s">
        <v>20</v>
      </c>
      <c r="C110">
        <v>3</v>
      </c>
      <c r="D110" t="s">
        <v>16</v>
      </c>
      <c r="E110">
        <v>25</v>
      </c>
      <c r="F110">
        <v>20</v>
      </c>
      <c r="G110" s="1">
        <v>45499</v>
      </c>
      <c r="H110" s="1">
        <v>45502</v>
      </c>
      <c r="I110">
        <v>337</v>
      </c>
      <c r="J110" s="2">
        <v>0.62</v>
      </c>
      <c r="K110" t="s">
        <v>17</v>
      </c>
      <c r="L110" s="2">
        <v>0</v>
      </c>
      <c r="M110">
        <v>339</v>
      </c>
      <c r="N110" s="2">
        <v>0.06</v>
      </c>
    </row>
    <row r="111" spans="1:14" x14ac:dyDescent="0.2">
      <c r="A111">
        <v>3</v>
      </c>
      <c r="B111" t="s">
        <v>20</v>
      </c>
      <c r="C111">
        <v>3</v>
      </c>
      <c r="D111" t="s">
        <v>18</v>
      </c>
      <c r="E111">
        <v>25</v>
      </c>
      <c r="F111">
        <v>12.5</v>
      </c>
      <c r="G111" s="1">
        <v>45499</v>
      </c>
      <c r="H111" s="1">
        <v>45502</v>
      </c>
      <c r="I111">
        <v>340</v>
      </c>
      <c r="J111" s="2">
        <v>1.7999999999999999E-2</v>
      </c>
      <c r="K111" t="s">
        <v>17</v>
      </c>
      <c r="L111" s="2">
        <v>0</v>
      </c>
      <c r="M111">
        <v>342</v>
      </c>
      <c r="N111" s="2">
        <v>7.0000000000000001E-3</v>
      </c>
    </row>
    <row r="112" spans="1:14" x14ac:dyDescent="0.2">
      <c r="A112">
        <v>3</v>
      </c>
      <c r="B112" t="s">
        <v>20</v>
      </c>
      <c r="C112">
        <v>4</v>
      </c>
      <c r="D112" t="s">
        <v>16</v>
      </c>
      <c r="E112">
        <v>25</v>
      </c>
      <c r="F112">
        <v>9</v>
      </c>
      <c r="G112" s="1">
        <v>45499</v>
      </c>
      <c r="H112" s="1">
        <v>45502</v>
      </c>
      <c r="I112">
        <v>343</v>
      </c>
      <c r="J112" s="2">
        <v>0.60599999999999998</v>
      </c>
      <c r="K112" t="s">
        <v>17</v>
      </c>
      <c r="L112" s="2">
        <v>0</v>
      </c>
      <c r="M112">
        <v>345</v>
      </c>
      <c r="N112" s="2">
        <v>4.0000000000000001E-3</v>
      </c>
    </row>
    <row r="113" spans="1:15" x14ac:dyDescent="0.2">
      <c r="A113">
        <v>3</v>
      </c>
      <c r="B113" t="s">
        <v>20</v>
      </c>
      <c r="C113">
        <v>4</v>
      </c>
      <c r="D113" t="s">
        <v>18</v>
      </c>
      <c r="E113">
        <v>25</v>
      </c>
      <c r="F113">
        <v>14</v>
      </c>
      <c r="G113" s="1">
        <v>45499</v>
      </c>
      <c r="H113" s="1">
        <v>45502</v>
      </c>
      <c r="I113">
        <v>346</v>
      </c>
      <c r="J113" s="2">
        <v>0.17</v>
      </c>
      <c r="K113" t="s">
        <v>17</v>
      </c>
      <c r="L113" s="2">
        <v>0</v>
      </c>
      <c r="M113" t="s">
        <v>17</v>
      </c>
      <c r="N113" s="2">
        <v>0</v>
      </c>
    </row>
    <row r="114" spans="1:15" x14ac:dyDescent="0.2">
      <c r="A114">
        <v>3</v>
      </c>
      <c r="B114" t="s">
        <v>23</v>
      </c>
      <c r="C114">
        <v>1</v>
      </c>
      <c r="D114" t="s">
        <v>16</v>
      </c>
      <c r="E114">
        <v>25</v>
      </c>
      <c r="F114">
        <v>11</v>
      </c>
      <c r="G114" s="1">
        <v>45499</v>
      </c>
      <c r="H114" s="1">
        <v>45500</v>
      </c>
      <c r="I114">
        <v>349</v>
      </c>
      <c r="J114" s="2">
        <v>1.3340000000000001</v>
      </c>
      <c r="K114" t="s">
        <v>17</v>
      </c>
      <c r="L114" s="2">
        <v>0</v>
      </c>
      <c r="M114" t="s">
        <v>17</v>
      </c>
      <c r="N114" s="2">
        <v>0</v>
      </c>
    </row>
    <row r="115" spans="1:15" x14ac:dyDescent="0.2">
      <c r="A115">
        <v>3</v>
      </c>
      <c r="B115" t="s">
        <v>23</v>
      </c>
      <c r="C115">
        <v>1</v>
      </c>
      <c r="D115" t="s">
        <v>18</v>
      </c>
      <c r="E115">
        <v>25</v>
      </c>
      <c r="F115">
        <v>22</v>
      </c>
      <c r="G115" s="1">
        <v>45499</v>
      </c>
      <c r="H115" s="1">
        <v>45501</v>
      </c>
      <c r="I115">
        <v>352</v>
      </c>
      <c r="J115" s="2">
        <v>0.41799999999999998</v>
      </c>
      <c r="K115" t="s">
        <v>17</v>
      </c>
      <c r="L115" s="2">
        <v>0</v>
      </c>
      <c r="M115" t="s">
        <v>17</v>
      </c>
      <c r="N115" s="2">
        <v>0</v>
      </c>
    </row>
    <row r="116" spans="1:15" x14ac:dyDescent="0.2">
      <c r="A116">
        <v>3</v>
      </c>
      <c r="B116" t="s">
        <v>23</v>
      </c>
      <c r="C116">
        <v>2</v>
      </c>
      <c r="D116" t="s">
        <v>16</v>
      </c>
      <c r="E116">
        <v>25</v>
      </c>
      <c r="F116">
        <v>11.5</v>
      </c>
      <c r="G116" s="1">
        <v>45499</v>
      </c>
      <c r="H116" s="1">
        <v>45501</v>
      </c>
      <c r="I116">
        <v>355</v>
      </c>
      <c r="J116" s="2">
        <v>1.1819999999999999</v>
      </c>
      <c r="K116" t="s">
        <v>17</v>
      </c>
      <c r="L116" s="2">
        <v>0</v>
      </c>
      <c r="M116">
        <v>357</v>
      </c>
      <c r="N116" s="2">
        <v>4.7E-2</v>
      </c>
    </row>
    <row r="117" spans="1:15" x14ac:dyDescent="0.2">
      <c r="A117">
        <v>3</v>
      </c>
      <c r="B117" t="s">
        <v>23</v>
      </c>
      <c r="C117">
        <v>2</v>
      </c>
      <c r="D117" t="s">
        <v>18</v>
      </c>
      <c r="E117">
        <v>25</v>
      </c>
      <c r="F117">
        <v>24</v>
      </c>
      <c r="G117" s="1">
        <v>45499</v>
      </c>
      <c r="H117" s="1">
        <v>45501</v>
      </c>
      <c r="I117">
        <v>358</v>
      </c>
      <c r="J117" s="2">
        <v>0.09</v>
      </c>
      <c r="K117" t="s">
        <v>17</v>
      </c>
      <c r="L117" s="2">
        <v>0</v>
      </c>
      <c r="M117" t="s">
        <v>17</v>
      </c>
      <c r="N117" s="2">
        <v>0</v>
      </c>
    </row>
    <row r="118" spans="1:15" x14ac:dyDescent="0.2">
      <c r="A118">
        <v>3</v>
      </c>
      <c r="B118" t="s">
        <v>23</v>
      </c>
      <c r="C118">
        <v>3</v>
      </c>
      <c r="D118" t="s">
        <v>16</v>
      </c>
      <c r="E118">
        <v>25</v>
      </c>
      <c r="F118">
        <v>20</v>
      </c>
      <c r="G118" s="1">
        <v>45499</v>
      </c>
      <c r="H118" s="1">
        <v>45500</v>
      </c>
      <c r="I118">
        <v>361</v>
      </c>
      <c r="J118" s="2">
        <v>0.32</v>
      </c>
      <c r="K118" t="s">
        <v>17</v>
      </c>
      <c r="L118" s="2">
        <v>0</v>
      </c>
      <c r="M118">
        <v>363</v>
      </c>
      <c r="N118" s="2">
        <v>8.8999999999999996E-2</v>
      </c>
    </row>
    <row r="119" spans="1:15" x14ac:dyDescent="0.2">
      <c r="A119">
        <v>3</v>
      </c>
      <c r="B119" t="s">
        <v>23</v>
      </c>
      <c r="C119">
        <v>3</v>
      </c>
      <c r="D119" t="s">
        <v>18</v>
      </c>
      <c r="E119">
        <v>25</v>
      </c>
      <c r="F119">
        <v>12.5</v>
      </c>
      <c r="G119" s="1">
        <v>45499</v>
      </c>
      <c r="H119" s="1">
        <v>45501</v>
      </c>
      <c r="I119">
        <v>364</v>
      </c>
      <c r="J119" s="2">
        <v>5.1999999999999998E-2</v>
      </c>
      <c r="K119" t="s">
        <v>17</v>
      </c>
      <c r="L119" s="2">
        <v>0</v>
      </c>
      <c r="M119">
        <v>366</v>
      </c>
      <c r="N119" s="2">
        <v>1E-3</v>
      </c>
    </row>
    <row r="120" spans="1:15" x14ac:dyDescent="0.2">
      <c r="A120">
        <v>3</v>
      </c>
      <c r="B120" t="s">
        <v>23</v>
      </c>
      <c r="C120">
        <v>4</v>
      </c>
      <c r="D120" t="s">
        <v>16</v>
      </c>
      <c r="E120">
        <v>25</v>
      </c>
      <c r="F120">
        <v>8</v>
      </c>
      <c r="G120" s="1">
        <v>45499</v>
      </c>
      <c r="H120" s="1">
        <v>45501</v>
      </c>
      <c r="I120">
        <v>367</v>
      </c>
      <c r="J120" s="2">
        <v>0.64400000000000002</v>
      </c>
      <c r="K120" t="s">
        <v>17</v>
      </c>
      <c r="L120" s="2">
        <v>0</v>
      </c>
      <c r="M120">
        <v>369</v>
      </c>
      <c r="N120" s="2">
        <v>0.01</v>
      </c>
    </row>
    <row r="121" spans="1:15" x14ac:dyDescent="0.2">
      <c r="A121">
        <v>3</v>
      </c>
      <c r="B121" t="s">
        <v>23</v>
      </c>
      <c r="C121">
        <v>4</v>
      </c>
      <c r="D121" t="s">
        <v>18</v>
      </c>
      <c r="E121">
        <v>25</v>
      </c>
      <c r="F121">
        <v>17</v>
      </c>
      <c r="G121" s="1">
        <v>45499</v>
      </c>
      <c r="H121" s="1">
        <v>45501</v>
      </c>
      <c r="I121">
        <v>370</v>
      </c>
      <c r="J121" s="2">
        <v>0.72599999999999998</v>
      </c>
      <c r="K121" t="s">
        <v>17</v>
      </c>
      <c r="L121" s="2">
        <v>0</v>
      </c>
      <c r="M121">
        <v>372</v>
      </c>
      <c r="N121" s="2">
        <v>6.0000000000000001E-3</v>
      </c>
    </row>
    <row r="122" spans="1:15" x14ac:dyDescent="0.2">
      <c r="A122">
        <v>3</v>
      </c>
      <c r="B122" t="s">
        <v>25</v>
      </c>
      <c r="C122">
        <v>1</v>
      </c>
      <c r="D122" t="s">
        <v>16</v>
      </c>
      <c r="E122">
        <v>25</v>
      </c>
      <c r="F122">
        <v>4</v>
      </c>
      <c r="G122" s="1">
        <v>45499</v>
      </c>
      <c r="H122" s="1">
        <v>45500</v>
      </c>
      <c r="I122">
        <v>373</v>
      </c>
      <c r="J122" s="2">
        <v>0.80800000000000005</v>
      </c>
      <c r="K122" t="s">
        <v>17</v>
      </c>
      <c r="L122" s="2">
        <v>0</v>
      </c>
      <c r="M122" t="s">
        <v>17</v>
      </c>
      <c r="N122" s="2">
        <v>0</v>
      </c>
    </row>
    <row r="123" spans="1:15" x14ac:dyDescent="0.2">
      <c r="A123">
        <v>3</v>
      </c>
      <c r="B123" t="s">
        <v>25</v>
      </c>
      <c r="C123">
        <v>1</v>
      </c>
      <c r="D123" t="s">
        <v>18</v>
      </c>
      <c r="E123">
        <v>25</v>
      </c>
      <c r="F123">
        <v>41.5</v>
      </c>
      <c r="G123" s="1">
        <v>45499</v>
      </c>
      <c r="H123" s="1">
        <v>45501</v>
      </c>
      <c r="I123">
        <v>376</v>
      </c>
      <c r="J123" s="2">
        <v>0.54400000000000004</v>
      </c>
      <c r="K123" t="s">
        <v>17</v>
      </c>
      <c r="L123" s="2">
        <v>0</v>
      </c>
      <c r="M123">
        <v>378</v>
      </c>
      <c r="N123" s="2">
        <v>8.9999999999999993E-3</v>
      </c>
    </row>
    <row r="124" spans="1:15" x14ac:dyDescent="0.2">
      <c r="A124">
        <v>3</v>
      </c>
      <c r="B124" t="s">
        <v>25</v>
      </c>
      <c r="C124">
        <v>2</v>
      </c>
      <c r="D124" t="s">
        <v>16</v>
      </c>
      <c r="E124">
        <v>25</v>
      </c>
      <c r="F124">
        <v>5</v>
      </c>
      <c r="G124" s="1">
        <v>45499</v>
      </c>
      <c r="H124" s="1">
        <v>45500</v>
      </c>
      <c r="I124">
        <v>379</v>
      </c>
      <c r="J124" s="2">
        <v>0.38</v>
      </c>
      <c r="K124" t="s">
        <v>17</v>
      </c>
      <c r="L124" s="2">
        <v>0</v>
      </c>
      <c r="M124" t="s">
        <v>17</v>
      </c>
      <c r="N124" s="2">
        <v>0</v>
      </c>
    </row>
    <row r="125" spans="1:15" x14ac:dyDescent="0.2">
      <c r="A125">
        <v>3</v>
      </c>
      <c r="B125" t="s">
        <v>25</v>
      </c>
      <c r="C125">
        <v>2</v>
      </c>
      <c r="D125" t="s">
        <v>18</v>
      </c>
      <c r="E125">
        <v>25</v>
      </c>
      <c r="F125">
        <v>53.5</v>
      </c>
      <c r="G125" s="1">
        <v>45499</v>
      </c>
      <c r="H125" s="1">
        <v>45501</v>
      </c>
      <c r="I125">
        <v>382</v>
      </c>
      <c r="J125" s="2">
        <v>0.78500000000000003</v>
      </c>
      <c r="K125" t="s">
        <v>17</v>
      </c>
      <c r="L125" s="2">
        <v>0</v>
      </c>
      <c r="M125" t="s">
        <v>17</v>
      </c>
      <c r="N125" s="2">
        <v>0</v>
      </c>
      <c r="O125" t="s">
        <v>29</v>
      </c>
    </row>
    <row r="126" spans="1:15" x14ac:dyDescent="0.2">
      <c r="A126">
        <v>3</v>
      </c>
      <c r="B126" t="s">
        <v>25</v>
      </c>
      <c r="C126">
        <v>3</v>
      </c>
      <c r="D126" t="s">
        <v>16</v>
      </c>
      <c r="E126">
        <v>25</v>
      </c>
      <c r="F126">
        <v>5</v>
      </c>
      <c r="G126" s="1">
        <v>45499</v>
      </c>
      <c r="H126" s="1">
        <v>45501</v>
      </c>
      <c r="I126">
        <v>385</v>
      </c>
      <c r="J126" s="2">
        <v>0.36699999999999999</v>
      </c>
      <c r="K126" t="s">
        <v>17</v>
      </c>
      <c r="L126" s="2">
        <v>0</v>
      </c>
      <c r="M126" t="s">
        <v>17</v>
      </c>
      <c r="N126" s="2">
        <v>0</v>
      </c>
    </row>
    <row r="127" spans="1:15" x14ac:dyDescent="0.2">
      <c r="A127">
        <v>3</v>
      </c>
      <c r="B127" t="s">
        <v>25</v>
      </c>
      <c r="C127">
        <v>3</v>
      </c>
      <c r="D127" t="s">
        <v>18</v>
      </c>
      <c r="E127">
        <v>25</v>
      </c>
      <c r="F127">
        <v>48</v>
      </c>
      <c r="G127" s="1">
        <v>45499</v>
      </c>
      <c r="H127" s="1">
        <v>45501</v>
      </c>
      <c r="I127">
        <v>388</v>
      </c>
      <c r="J127" s="2">
        <v>2.5339999999999998</v>
      </c>
      <c r="K127">
        <v>389</v>
      </c>
      <c r="L127" s="2">
        <v>5.2999999999999999E-2</v>
      </c>
      <c r="M127">
        <v>390</v>
      </c>
      <c r="N127" s="2">
        <v>2.8000000000000001E-2</v>
      </c>
      <c r="O127" t="s">
        <v>29</v>
      </c>
    </row>
    <row r="128" spans="1:15" x14ac:dyDescent="0.2">
      <c r="A128">
        <v>3</v>
      </c>
      <c r="B128" t="s">
        <v>25</v>
      </c>
      <c r="C128">
        <v>4</v>
      </c>
      <c r="D128" t="s">
        <v>16</v>
      </c>
      <c r="E128">
        <v>25</v>
      </c>
      <c r="F128">
        <v>12</v>
      </c>
      <c r="G128" s="1">
        <v>45499</v>
      </c>
      <c r="H128" s="1">
        <v>45501</v>
      </c>
      <c r="I128">
        <v>391</v>
      </c>
      <c r="J128" s="2">
        <v>1.014</v>
      </c>
      <c r="K128" t="s">
        <v>17</v>
      </c>
      <c r="L128" s="2">
        <v>0</v>
      </c>
      <c r="M128" t="s">
        <v>17</v>
      </c>
      <c r="N128" s="2">
        <v>0</v>
      </c>
    </row>
    <row r="129" spans="1:15" x14ac:dyDescent="0.2">
      <c r="A129">
        <v>3</v>
      </c>
      <c r="B129" t="s">
        <v>25</v>
      </c>
      <c r="C129">
        <v>4</v>
      </c>
      <c r="D129" t="s">
        <v>18</v>
      </c>
      <c r="E129">
        <v>25</v>
      </c>
      <c r="F129">
        <v>40</v>
      </c>
      <c r="G129" s="1">
        <v>45499</v>
      </c>
      <c r="H129" s="1">
        <v>45501</v>
      </c>
      <c r="I129">
        <v>394</v>
      </c>
      <c r="J129" s="2">
        <v>0.56200000000000006</v>
      </c>
      <c r="K129">
        <v>395</v>
      </c>
      <c r="L129" s="2">
        <v>9.8000000000000004E-2</v>
      </c>
      <c r="M129" t="s">
        <v>17</v>
      </c>
      <c r="N129" s="2">
        <v>0</v>
      </c>
      <c r="O129" t="s">
        <v>30</v>
      </c>
    </row>
    <row r="130" spans="1:15" x14ac:dyDescent="0.2">
      <c r="A130">
        <v>3</v>
      </c>
      <c r="B130" t="s">
        <v>26</v>
      </c>
      <c r="C130">
        <v>1</v>
      </c>
      <c r="D130" t="s">
        <v>16</v>
      </c>
      <c r="E130">
        <v>25</v>
      </c>
      <c r="F130">
        <v>10</v>
      </c>
      <c r="G130" s="1">
        <v>45499</v>
      </c>
      <c r="H130" s="1">
        <v>45500</v>
      </c>
      <c r="I130">
        <v>397</v>
      </c>
      <c r="J130" s="2">
        <v>1.673</v>
      </c>
      <c r="K130" t="s">
        <v>17</v>
      </c>
      <c r="L130" s="2">
        <v>0</v>
      </c>
      <c r="M130" t="s">
        <v>17</v>
      </c>
      <c r="N130" s="2">
        <v>0</v>
      </c>
    </row>
    <row r="131" spans="1:15" x14ac:dyDescent="0.2">
      <c r="A131">
        <v>3</v>
      </c>
      <c r="B131" t="s">
        <v>26</v>
      </c>
      <c r="C131">
        <v>1</v>
      </c>
      <c r="D131" t="s">
        <v>18</v>
      </c>
      <c r="E131">
        <v>25</v>
      </c>
      <c r="F131">
        <v>6.5</v>
      </c>
      <c r="G131" s="1">
        <v>45499</v>
      </c>
      <c r="H131" s="1">
        <v>45501</v>
      </c>
      <c r="I131">
        <v>400</v>
      </c>
      <c r="J131" s="2">
        <v>0.13100000000000001</v>
      </c>
      <c r="K131" t="s">
        <v>17</v>
      </c>
      <c r="L131" s="2">
        <v>0</v>
      </c>
      <c r="M131" t="s">
        <v>17</v>
      </c>
      <c r="N131" s="2">
        <v>0</v>
      </c>
    </row>
    <row r="132" spans="1:15" x14ac:dyDescent="0.2">
      <c r="A132">
        <v>3</v>
      </c>
      <c r="B132" t="s">
        <v>26</v>
      </c>
      <c r="C132">
        <v>2</v>
      </c>
      <c r="D132" t="s">
        <v>16</v>
      </c>
      <c r="E132">
        <v>25</v>
      </c>
      <c r="F132">
        <v>14</v>
      </c>
      <c r="G132" s="1">
        <v>45499</v>
      </c>
      <c r="H132" s="1">
        <v>45502</v>
      </c>
      <c r="I132">
        <v>403</v>
      </c>
      <c r="J132" s="2">
        <v>1.0009999999999999</v>
      </c>
      <c r="K132" t="s">
        <v>17</v>
      </c>
      <c r="L132" s="2">
        <v>0</v>
      </c>
      <c r="M132">
        <v>405</v>
      </c>
      <c r="N132" s="2">
        <v>0.13900000000000001</v>
      </c>
    </row>
    <row r="133" spans="1:15" x14ac:dyDescent="0.2">
      <c r="A133">
        <v>3</v>
      </c>
      <c r="B133" t="s">
        <v>26</v>
      </c>
      <c r="C133">
        <v>2</v>
      </c>
      <c r="D133" t="s">
        <v>18</v>
      </c>
      <c r="E133">
        <v>25</v>
      </c>
      <c r="F133">
        <v>9</v>
      </c>
      <c r="G133" s="1">
        <v>45499</v>
      </c>
      <c r="H133" s="1">
        <v>45501</v>
      </c>
      <c r="I133">
        <v>406</v>
      </c>
      <c r="J133" s="2">
        <v>0.36299999999999999</v>
      </c>
      <c r="K133" t="s">
        <v>17</v>
      </c>
      <c r="L133" s="2">
        <v>0</v>
      </c>
      <c r="M133">
        <v>408</v>
      </c>
      <c r="N133" s="2">
        <v>3.5999999999999997E-2</v>
      </c>
    </row>
    <row r="134" spans="1:15" x14ac:dyDescent="0.2">
      <c r="A134">
        <v>3</v>
      </c>
      <c r="B134" t="s">
        <v>26</v>
      </c>
      <c r="C134">
        <v>3</v>
      </c>
      <c r="D134" t="s">
        <v>16</v>
      </c>
      <c r="E134">
        <v>25</v>
      </c>
      <c r="F134">
        <v>9.5</v>
      </c>
      <c r="G134" s="1">
        <v>45499</v>
      </c>
      <c r="H134" s="1">
        <v>45501</v>
      </c>
      <c r="I134">
        <v>409</v>
      </c>
      <c r="J134" s="2">
        <v>0.33200000000000002</v>
      </c>
      <c r="K134" t="s">
        <v>17</v>
      </c>
      <c r="L134" s="2">
        <v>0</v>
      </c>
      <c r="M134" t="s">
        <v>17</v>
      </c>
      <c r="N134" s="2">
        <v>0</v>
      </c>
    </row>
    <row r="135" spans="1:15" x14ac:dyDescent="0.2">
      <c r="A135">
        <v>3</v>
      </c>
      <c r="B135" t="s">
        <v>26</v>
      </c>
      <c r="C135">
        <v>3</v>
      </c>
      <c r="D135" t="s">
        <v>18</v>
      </c>
      <c r="E135">
        <v>25</v>
      </c>
      <c r="F135">
        <v>26</v>
      </c>
      <c r="G135" s="1">
        <v>45499</v>
      </c>
      <c r="H135" s="1">
        <v>45501</v>
      </c>
      <c r="I135">
        <v>412</v>
      </c>
      <c r="J135" s="2">
        <v>0.219</v>
      </c>
      <c r="K135" t="s">
        <v>17</v>
      </c>
      <c r="L135" s="2">
        <v>0</v>
      </c>
      <c r="M135" t="s">
        <v>17</v>
      </c>
      <c r="N135" s="2">
        <v>0</v>
      </c>
    </row>
    <row r="136" spans="1:15" x14ac:dyDescent="0.2">
      <c r="A136">
        <v>3</v>
      </c>
      <c r="B136" t="s">
        <v>26</v>
      </c>
      <c r="C136">
        <v>4</v>
      </c>
      <c r="D136" t="s">
        <v>16</v>
      </c>
      <c r="E136">
        <v>25</v>
      </c>
      <c r="F136">
        <v>10</v>
      </c>
      <c r="G136" s="1">
        <v>45499</v>
      </c>
      <c r="H136" s="1">
        <v>45500</v>
      </c>
      <c r="I136">
        <v>415</v>
      </c>
      <c r="J136" s="2">
        <v>0.64400000000000002</v>
      </c>
      <c r="K136" t="s">
        <v>17</v>
      </c>
      <c r="L136" s="2">
        <v>0</v>
      </c>
      <c r="M136">
        <v>417</v>
      </c>
      <c r="N136" s="2">
        <v>3.6999999999999998E-2</v>
      </c>
    </row>
    <row r="137" spans="1:15" x14ac:dyDescent="0.2">
      <c r="A137">
        <v>3</v>
      </c>
      <c r="B137" t="s">
        <v>26</v>
      </c>
      <c r="C137">
        <v>4</v>
      </c>
      <c r="D137" t="s">
        <v>18</v>
      </c>
      <c r="E137">
        <v>25</v>
      </c>
      <c r="F137">
        <v>31</v>
      </c>
      <c r="G137" s="1">
        <v>45499</v>
      </c>
      <c r="H137" s="1">
        <v>45501</v>
      </c>
      <c r="I137">
        <v>418</v>
      </c>
      <c r="J137" s="2">
        <v>0.28899999999999998</v>
      </c>
      <c r="K137" t="s">
        <v>17</v>
      </c>
      <c r="L137" s="2">
        <v>0</v>
      </c>
      <c r="M137" t="s">
        <v>17</v>
      </c>
      <c r="N137" s="2">
        <v>0</v>
      </c>
    </row>
    <row r="138" spans="1:15" x14ac:dyDescent="0.2">
      <c r="A138">
        <v>3</v>
      </c>
      <c r="B138" t="s">
        <v>27</v>
      </c>
      <c r="C138">
        <v>1</v>
      </c>
      <c r="D138" t="s">
        <v>16</v>
      </c>
      <c r="E138">
        <v>25</v>
      </c>
      <c r="F138">
        <v>21</v>
      </c>
      <c r="G138" s="1">
        <v>45499</v>
      </c>
      <c r="H138" s="1">
        <v>45501</v>
      </c>
      <c r="I138">
        <v>421</v>
      </c>
      <c r="J138" s="2">
        <v>1.232</v>
      </c>
      <c r="K138">
        <v>422</v>
      </c>
      <c r="L138" s="2">
        <v>0.16900000000000001</v>
      </c>
      <c r="M138">
        <v>423</v>
      </c>
      <c r="N138" s="2">
        <v>4.0000000000000001E-3</v>
      </c>
    </row>
    <row r="139" spans="1:15" x14ac:dyDescent="0.2">
      <c r="A139">
        <v>3</v>
      </c>
      <c r="B139" t="s">
        <v>27</v>
      </c>
      <c r="C139">
        <v>1</v>
      </c>
      <c r="D139" t="s">
        <v>18</v>
      </c>
      <c r="E139">
        <v>25</v>
      </c>
      <c r="F139">
        <v>11</v>
      </c>
      <c r="G139" s="1">
        <v>45499</v>
      </c>
      <c r="H139" s="1">
        <v>45501</v>
      </c>
      <c r="I139">
        <v>424</v>
      </c>
      <c r="J139" s="2">
        <v>5.6000000000000001E-2</v>
      </c>
      <c r="K139" t="s">
        <v>17</v>
      </c>
      <c r="L139" s="2">
        <v>0</v>
      </c>
      <c r="M139" t="s">
        <v>17</v>
      </c>
      <c r="N139" s="2">
        <v>0</v>
      </c>
    </row>
    <row r="140" spans="1:15" x14ac:dyDescent="0.2">
      <c r="A140">
        <v>3</v>
      </c>
      <c r="B140" t="s">
        <v>27</v>
      </c>
      <c r="C140">
        <v>2</v>
      </c>
      <c r="D140" t="s">
        <v>16</v>
      </c>
      <c r="E140">
        <v>25</v>
      </c>
      <c r="F140">
        <v>12</v>
      </c>
      <c r="G140" s="1">
        <v>45499</v>
      </c>
      <c r="H140" s="1">
        <v>45500</v>
      </c>
      <c r="I140">
        <v>427</v>
      </c>
      <c r="J140" s="2">
        <v>2.3029999999999999</v>
      </c>
      <c r="K140" t="s">
        <v>17</v>
      </c>
      <c r="L140" s="2">
        <v>0</v>
      </c>
      <c r="M140">
        <v>429</v>
      </c>
      <c r="N140" s="2">
        <v>8.0000000000000002E-3</v>
      </c>
    </row>
    <row r="141" spans="1:15" x14ac:dyDescent="0.2">
      <c r="A141">
        <v>3</v>
      </c>
      <c r="B141" t="s">
        <v>27</v>
      </c>
      <c r="C141">
        <v>2</v>
      </c>
      <c r="D141" t="s">
        <v>18</v>
      </c>
      <c r="E141">
        <v>25</v>
      </c>
      <c r="F141">
        <v>18.5</v>
      </c>
      <c r="G141" s="1">
        <v>45499</v>
      </c>
      <c r="H141" s="1">
        <v>45501</v>
      </c>
      <c r="I141">
        <v>430</v>
      </c>
      <c r="J141" s="2">
        <v>1.4E-2</v>
      </c>
      <c r="K141" t="s">
        <v>17</v>
      </c>
      <c r="L141" s="2">
        <v>0</v>
      </c>
      <c r="M141" t="s">
        <v>17</v>
      </c>
      <c r="N141" s="2">
        <v>0</v>
      </c>
    </row>
    <row r="142" spans="1:15" x14ac:dyDescent="0.2">
      <c r="A142">
        <v>3</v>
      </c>
      <c r="B142" t="s">
        <v>27</v>
      </c>
      <c r="C142">
        <v>3</v>
      </c>
      <c r="D142" t="s">
        <v>16</v>
      </c>
      <c r="E142">
        <v>25</v>
      </c>
      <c r="F142">
        <v>30</v>
      </c>
      <c r="G142" s="1">
        <v>45499</v>
      </c>
      <c r="H142" s="1">
        <v>45501</v>
      </c>
      <c r="I142">
        <v>295</v>
      </c>
      <c r="J142" s="2">
        <v>0.77200000000000002</v>
      </c>
      <c r="K142" t="s">
        <v>17</v>
      </c>
      <c r="L142" s="2">
        <v>0</v>
      </c>
      <c r="M142">
        <v>297</v>
      </c>
      <c r="N142" s="2">
        <v>2E-3</v>
      </c>
    </row>
    <row r="143" spans="1:15" x14ac:dyDescent="0.2">
      <c r="A143">
        <v>3</v>
      </c>
      <c r="B143" t="s">
        <v>27</v>
      </c>
      <c r="C143">
        <v>3</v>
      </c>
      <c r="D143" t="s">
        <v>18</v>
      </c>
      <c r="E143">
        <v>25</v>
      </c>
      <c r="F143">
        <v>19</v>
      </c>
      <c r="G143" s="1">
        <v>45499</v>
      </c>
      <c r="H143" s="1">
        <v>45501</v>
      </c>
      <c r="I143">
        <v>298</v>
      </c>
      <c r="J143" s="2">
        <v>1E-3</v>
      </c>
      <c r="K143" t="s">
        <v>17</v>
      </c>
      <c r="L143" s="2">
        <v>0</v>
      </c>
      <c r="M143" t="s">
        <v>17</v>
      </c>
      <c r="N143" s="2">
        <v>0</v>
      </c>
    </row>
    <row r="144" spans="1:15" x14ac:dyDescent="0.2">
      <c r="A144">
        <v>3</v>
      </c>
      <c r="B144" t="s">
        <v>27</v>
      </c>
      <c r="C144">
        <v>4</v>
      </c>
      <c r="D144" t="s">
        <v>16</v>
      </c>
      <c r="E144">
        <v>25</v>
      </c>
      <c r="F144">
        <v>6</v>
      </c>
      <c r="G144" s="1">
        <v>45499</v>
      </c>
      <c r="H144" s="1">
        <v>45500</v>
      </c>
      <c r="I144">
        <v>145</v>
      </c>
      <c r="J144" s="2">
        <v>0.34899999999999998</v>
      </c>
      <c r="K144" t="s">
        <v>17</v>
      </c>
      <c r="L144" s="2">
        <v>0</v>
      </c>
      <c r="M144" t="s">
        <v>17</v>
      </c>
      <c r="N144" s="2">
        <v>0</v>
      </c>
    </row>
    <row r="145" spans="1:14" x14ac:dyDescent="0.2">
      <c r="A145">
        <v>3</v>
      </c>
      <c r="B145" t="s">
        <v>27</v>
      </c>
      <c r="C145">
        <v>4</v>
      </c>
      <c r="D145" t="s">
        <v>18</v>
      </c>
      <c r="E145">
        <v>25</v>
      </c>
      <c r="F145">
        <v>18.5</v>
      </c>
      <c r="G145" s="1">
        <v>45499</v>
      </c>
      <c r="H145" s="1">
        <v>45501</v>
      </c>
      <c r="I145">
        <v>148</v>
      </c>
      <c r="J145" s="2">
        <v>2.8000000000000001E-2</v>
      </c>
      <c r="K145" t="s">
        <v>17</v>
      </c>
      <c r="L145" s="2">
        <v>0</v>
      </c>
      <c r="M145" t="s">
        <v>17</v>
      </c>
      <c r="N145" s="2">
        <v>0</v>
      </c>
    </row>
    <row r="147" spans="1:14" x14ac:dyDescent="0.2">
      <c r="H147">
        <f>SUM(I147:M147)</f>
        <v>206</v>
      </c>
      <c r="I147">
        <f>COUNT(I2:I145)</f>
        <v>131</v>
      </c>
      <c r="K147">
        <f>COUNT(K2:K145)</f>
        <v>10</v>
      </c>
      <c r="M147">
        <f>COUNT(M2:M145)</f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Duncan Menge</dc:creator>
  <cp:keywords/>
  <dc:description/>
  <cp:lastModifiedBy>Savannah Kjaer</cp:lastModifiedBy>
  <cp:revision/>
  <dcterms:created xsi:type="dcterms:W3CDTF">2024-07-27T20:54:34Z</dcterms:created>
  <dcterms:modified xsi:type="dcterms:W3CDTF">2024-09-06T15:56:18Z</dcterms:modified>
  <cp:category/>
  <cp:contentStatus/>
</cp:coreProperties>
</file>