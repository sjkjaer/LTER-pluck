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018"/>
  <workbookPr/>
  <mc:AlternateContent xmlns:mc="http://schemas.openxmlformats.org/markup-compatibility/2006">
    <mc:Choice Requires="x15">
      <x15ac:absPath xmlns:x15ac="http://schemas.microsoft.com/office/spreadsheetml/2010/11/ac" url="H:\ARC LTER\data to be archived\"/>
    </mc:Choice>
  </mc:AlternateContent>
  <xr:revisionPtr revIDLastSave="0" documentId="8_{FA96DB81-A19B-4176-902E-CFA679169C00}" xr6:coauthVersionLast="47" xr6:coauthVersionMax="47" xr10:uidLastSave="{00000000-0000-0000-0000-000000000000}"/>
  <bookViews>
    <workbookView xWindow="-108" yWindow="-108" windowWidth="23256" windowHeight="12576" firstSheet="1" activeTab="1" xr2:uid="{00000000-000D-0000-FFFF-FFFF00000000}"/>
  </bookViews>
  <sheets>
    <sheet name="Metadata" sheetId="2" r:id="rId1"/>
    <sheet name="2012lgbiomass" sheetId="1" r:id="rId2"/>
    <sheet name="Sites(Do NOT Edit)" sheetId="3" r:id="rId3"/>
  </sheets>
  <externalReferences>
    <externalReference r:id="rId4"/>
  </externalReferences>
  <definedNames>
    <definedName name="_xlnm._FilterDatabase" localSheetId="1" hidden="1">'2012lgbiomass'!$A$1:$AA$316</definedName>
    <definedName name="_xlnm._FilterDatabase" localSheetId="2" hidden="1">'Sites(Do NOT Edit)'!$A$2:$M$576</definedName>
    <definedName name="ABSTRACT" localSheetId="0">Metadata!$A$6</definedName>
    <definedName name="ABSTRACT" localSheetId="2">[1]Metadata!$A$6</definedName>
    <definedName name="ABSTRACT">#REF!</definedName>
    <definedName name="Address_line_2" localSheetId="0">Metadata!$A$21</definedName>
    <definedName name="Address_line_2" localSheetId="2">[1]Metadata!$A$21</definedName>
    <definedName name="Address_line_2">#REF!</definedName>
    <definedName name="Address_line_3" localSheetId="0">Metadata!$A$22</definedName>
    <definedName name="Address_line_3" localSheetId="2">[1]Metadata!$A$22</definedName>
    <definedName name="Address_line_3">#REF!</definedName>
    <definedName name="Availability_Status" localSheetId="0">Metadata!$A$36</definedName>
    <definedName name="Availability_Status" localSheetId="2">[1]Metadata!$A$36</definedName>
    <definedName name="Availability_Status">#REF!</definedName>
    <definedName name="Beginning_Date" localSheetId="0">Metadata!$A$32</definedName>
    <definedName name="Beginning_Date" localSheetId="2">[1]Metadata!$A$32</definedName>
    <definedName name="Beginning_Date">#REF!</definedName>
    <definedName name="City" localSheetId="0">Metadata!$A$23</definedName>
    <definedName name="City" localSheetId="2">[1]Metadata!$A$23</definedName>
    <definedName name="City">#REF!</definedName>
    <definedName name="Code_Information" localSheetId="0">Metadata!$F$129</definedName>
    <definedName name="Code_Information" localSheetId="2">[1]Metadata!$F$129</definedName>
    <definedName name="Code_Information">#REF!</definedName>
    <definedName name="Country" localSheetId="0">Metadata!$A$26</definedName>
    <definedName name="Country" localSheetId="2">[1]Metadata!$A$26</definedName>
    <definedName name="Country">#REF!</definedName>
    <definedName name="DATA_FILE_INFORMATION" localSheetId="0">Metadata!$A$29</definedName>
    <definedName name="DATA_FILE_INFORMATION" localSheetId="2">[1]Metadata!$A$29</definedName>
    <definedName name="DATA_FILE_INFORMATION">#REF!</definedName>
    <definedName name="Data_File_Name" localSheetId="0">Metadata!$A$31</definedName>
    <definedName name="Data_File_Name" localSheetId="2">[1]Metadata!$A$31</definedName>
    <definedName name="Data_File_Name">#REF!</definedName>
    <definedName name="Data_File_URL" localSheetId="0">Metadata!$A$30</definedName>
    <definedName name="Data_File_URL" localSheetId="2">[1]Metadata!$A$30</definedName>
    <definedName name="Data_File_URL">#REF!</definedName>
    <definedName name="Data_Type" localSheetId="0">Metadata!$C$129</definedName>
    <definedName name="Data_Type" localSheetId="2">[1]Metadata!$C$129</definedName>
    <definedName name="Data_Type">#REF!</definedName>
    <definedName name="DATASET_ID" localSheetId="0">Metadata!$A$13</definedName>
    <definedName name="DATASET_ID" localSheetId="2">[1]Metadata!$A$13</definedName>
    <definedName name="DATASET_ID">#REF!</definedName>
    <definedName name="DATASET_TITLE" localSheetId="0">Metadata!$A$5</definedName>
    <definedName name="DATASET_TITLE" localSheetId="2">[1]Metadata!$A$5</definedName>
    <definedName name="DATASET_TITLE">#REF!</definedName>
    <definedName name="DateTime_Format" localSheetId="0">Metadata!$E$129</definedName>
    <definedName name="DateTime_Format" localSheetId="2">[1]Metadata!$E$129</definedName>
    <definedName name="DateTime_Format">#REF!</definedName>
    <definedName name="Distribution_URL_for_file" localSheetId="0">Metadata!$A$4</definedName>
    <definedName name="Distribution_URL_for_file" localSheetId="2">[1]Metadata!$A$4</definedName>
    <definedName name="Distribution_URL_for_file">#REF!</definedName>
    <definedName name="East_Bounding_Coordinate" localSheetId="0">Metadata!$A$58</definedName>
    <definedName name="East_Bounding_Coordinate" localSheetId="2">[1]Metadata!$A$58</definedName>
    <definedName name="East_Bounding_Coordinate">#REF!</definedName>
    <definedName name="Elevation" localSheetId="0">Metadata!$A$64</definedName>
    <definedName name="Elevation" localSheetId="2">[1]Metadata!$A$64</definedName>
    <definedName name="Elevation">#REF!</definedName>
    <definedName name="Email" localSheetId="0">Metadata!$A$17</definedName>
    <definedName name="Email" localSheetId="2">[1]Metadata!$A$17</definedName>
    <definedName name="Email">#REF!</definedName>
    <definedName name="End_Date" localSheetId="0">Metadata!$A$33</definedName>
    <definedName name="End_Date" localSheetId="2">[1]Metadata!$A$33</definedName>
    <definedName name="End_Date">#REF!</definedName>
    <definedName name="First_Name" localSheetId="0">Metadata!$A$18</definedName>
    <definedName name="First_Name" localSheetId="2">[1]Metadata!$A$18</definedName>
    <definedName name="First_Name">#REF!</definedName>
    <definedName name="Geographic_Description" localSheetId="0">Metadata!$A$55</definedName>
    <definedName name="Geographic_Description" localSheetId="2">[1]Metadata!$A$55</definedName>
    <definedName name="Geographic_Description">#REF!</definedName>
    <definedName name="INVESTIGATOR_INFORMATION" localSheetId="0">Metadata!$A$15</definedName>
    <definedName name="INVESTIGATOR_INFORMATION" localSheetId="2">[1]Metadata!$A$15</definedName>
    <definedName name="INVESTIGATOR_INFORMATION">#REF!</definedName>
    <definedName name="KEYWORD_INFORMATION" localSheetId="0">Metadata!$A$70</definedName>
    <definedName name="KEYWORD_INFORMATION" localSheetId="2">[1]Metadata!$A$70</definedName>
    <definedName name="KEYWORD_INFORMATION">#REF!</definedName>
    <definedName name="KEYWORDS" localSheetId="0">Metadata!$A$71</definedName>
    <definedName name="KEYWORDS" localSheetId="2">[1]Metadata!$A$71</definedName>
    <definedName name="KEYWORDS">#REF!</definedName>
    <definedName name="Last_Name" localSheetId="0">Metadata!$A$19</definedName>
    <definedName name="Last_Name" localSheetId="2">[1]Metadata!$A$19</definedName>
    <definedName name="Last_Name">#REF!</definedName>
    <definedName name="Latitude" localSheetId="0">Metadata!$A$62</definedName>
    <definedName name="Latitude" localSheetId="2">[1]Metadata!$A$62</definedName>
    <definedName name="Latitude">#REF!</definedName>
    <definedName name="Link_to_Google_Map">Metadata!$A$65</definedName>
    <definedName name="Location_Bounding_Box" localSheetId="0">Metadata!$A$56</definedName>
    <definedName name="Location_Bounding_Box" localSheetId="2">[1]Metadata!$A$56</definedName>
    <definedName name="Location_Bounding_Box">#REF!</definedName>
    <definedName name="Location_Name">Metadata!$A$54</definedName>
    <definedName name="Log_of_Changes" localSheetId="0">Metadata!$A$39</definedName>
    <definedName name="Log_of_Changes" localSheetId="2">[1]Metadata!$A$39</definedName>
    <definedName name="Log_of_Changes">#REF!</definedName>
    <definedName name="Longitude" localSheetId="0">Metadata!$A$63</definedName>
    <definedName name="Longitude" localSheetId="2">[1]Metadata!$A$63</definedName>
    <definedName name="Longitude">#REF!</definedName>
    <definedName name="LTER_Sites_number">'Sites(Do NOT Edit)'!$A$2:$A$555</definedName>
    <definedName name="Maintenance_Description" localSheetId="0">Metadata!$A$38</definedName>
    <definedName name="Maintenance_Description" localSheetId="2">[1]Metadata!$A$38</definedName>
    <definedName name="Maintenance_Description">#REF!</definedName>
    <definedName name="Metacat_Package_ID" localSheetId="0">Metadata!$A$2</definedName>
    <definedName name="Metacat_Package_ID" localSheetId="2">[1]Metadata!$A$2</definedName>
    <definedName name="Metacat_Package_ID">#REF!</definedName>
    <definedName name="METHODS" localSheetId="0">Metadata!$A$74</definedName>
    <definedName name="METHODS" localSheetId="2">[1]Metadata!$A$74</definedName>
    <definedName name="METHODS">#REF!</definedName>
    <definedName name="Missing_Value_Code" localSheetId="0">Metadata!$G$129</definedName>
    <definedName name="Missing_Value_Code" localSheetId="2">[1]Metadata!$G$129</definedName>
    <definedName name="Missing_Value_Code">#REF!</definedName>
    <definedName name="North_Bounding_Coordinate" localSheetId="0">Metadata!$A$59</definedName>
    <definedName name="North_Bounding_Coordinate" localSheetId="2">[1]Metadata!$A$59</definedName>
    <definedName name="North_Bounding_Coordinate">#REF!</definedName>
    <definedName name="Number_of_Data_Records" localSheetId="0">Metadata!$A$34</definedName>
    <definedName name="Number_of_Data_Records" localSheetId="2">[1]Metadata!$A$34</definedName>
    <definedName name="Number_of_Data_Records">#REF!</definedName>
    <definedName name="OR" localSheetId="0">Metadata!$A$120</definedName>
    <definedName name="OR" localSheetId="2">[1]Metadata!$A$120</definedName>
    <definedName name="OR">#REF!</definedName>
    <definedName name="OR_if_single_point_location" localSheetId="0">Metadata!$A$61</definedName>
    <definedName name="OR_if_single_point_location" localSheetId="2">[1]Metadata!$A$61</definedName>
    <definedName name="OR_if_single_point_location">#REF!</definedName>
    <definedName name="Organisms_studied" localSheetId="0">Metadata!$A$68</definedName>
    <definedName name="Organisms_studied" localSheetId="2">[1]Metadata!$A$68</definedName>
    <definedName name="Organisms_studied">#REF!</definedName>
    <definedName name="Organization" localSheetId="0">Metadata!$A$20</definedName>
    <definedName name="Organization" localSheetId="2">[1]Metadata!$A$20</definedName>
    <definedName name="Organization">#REF!</definedName>
    <definedName name="Other_Files_to_Reference" localSheetId="0">Metadata!$A$35</definedName>
    <definedName name="Other_Files_to_Reference" localSheetId="2">[1]Metadata!$A$35</definedName>
    <definedName name="Other_Files_to_Reference">#REF!</definedName>
    <definedName name="Protocol_Document" localSheetId="0">Metadata!$A$121</definedName>
    <definedName name="Protocol_Document" localSheetId="2">[1]Metadata!$A$121</definedName>
    <definedName name="Protocol_Document">#REF!</definedName>
    <definedName name="Protocol_Title" localSheetId="0">Metadata!$A$118</definedName>
    <definedName name="Protocol_Title" localSheetId="2">[1]Metadata!$A$118</definedName>
    <definedName name="Protocol_Title">#REF!</definedName>
    <definedName name="Quality_Control_Information" localSheetId="0">Metadata!$A$37</definedName>
    <definedName name="Quality_Control_Information" localSheetId="2">[1]Metadata!$A$37</definedName>
    <definedName name="Quality_Control_Information">#REF!</definedName>
    <definedName name="RESEARCH_LOCATION" localSheetId="0">Metadata!$A$53</definedName>
    <definedName name="RESEARCH_LOCATION" localSheetId="2">[1]Metadata!$A$53</definedName>
    <definedName name="RESEARCH_LOCATION">#REF!</definedName>
    <definedName name="Role" localSheetId="0">Metadata!$A$16</definedName>
    <definedName name="Role" localSheetId="2">[1]Metadata!$A$16</definedName>
    <definedName name="Role">#REF!</definedName>
    <definedName name="Sampling_and_or_Lab_Protocols" localSheetId="0">Metadata!$A$117</definedName>
    <definedName name="Sampling_and_or_Lab_Protocols" localSheetId="2">[1]Metadata!$A$117</definedName>
    <definedName name="Sampling_and_or_Lab_Protocols">#REF!</definedName>
    <definedName name="Site_name">'Sites(Do NOT Edit)'!$B$3:$B$555</definedName>
    <definedName name="Site_name_list">'Sites(Do NOT Edit)'!$B$2:$B$555</definedName>
    <definedName name="Sites">'Sites(Do NOT Edit)'!$A$3:$M$555</definedName>
    <definedName name="South_Bounding_Coordinate" localSheetId="0">Metadata!$A$60</definedName>
    <definedName name="South_Bounding_Coordinate" localSheetId="2">[1]Metadata!$A$60</definedName>
    <definedName name="South_Bounding_Coordinate">#REF!</definedName>
    <definedName name="State" localSheetId="0">Metadata!$A$24</definedName>
    <definedName name="State" localSheetId="2">[1]Metadata!$A$24</definedName>
    <definedName name="State">#REF!</definedName>
    <definedName name="TAXONOMIC_COVERAGE" localSheetId="0">Metadata!$A$67</definedName>
    <definedName name="TAXONOMIC_COVERAGE" localSheetId="2">[1]Metadata!$A$67</definedName>
    <definedName name="TAXONOMIC_COVERAGE">#REF!</definedName>
    <definedName name="Units" localSheetId="0">Metadata!$D$129</definedName>
    <definedName name="Units" localSheetId="2">[1]Metadata!$D$129</definedName>
    <definedName name="Units">#REF!</definedName>
    <definedName name="URL_of_online_Protocol" localSheetId="0">Metadata!$A$119</definedName>
    <definedName name="URL_of_online_Protocol" localSheetId="2">[1]Metadata!$A$119</definedName>
    <definedName name="URL_of_online_Protocol">#REF!</definedName>
    <definedName name="Variable_Description" localSheetId="0">Metadata!$B$129</definedName>
    <definedName name="Variable_Description" localSheetId="2">[1]Metadata!$B$129</definedName>
    <definedName name="Variable_Description">#REF!</definedName>
    <definedName name="VARIABLE_DESCRIPTIONS" localSheetId="0">Metadata!$A$128</definedName>
    <definedName name="VARIABLE_DESCRIPTIONS" localSheetId="2">[1]Metadata!$A$128</definedName>
    <definedName name="VARIABLE_DESCRIPTIONS">#REF!</definedName>
    <definedName name="Variable_Name" localSheetId="0">Metadata!$A$129</definedName>
    <definedName name="Variable_Name" localSheetId="2">[1]Metadata!$A$129</definedName>
    <definedName name="Variable_Name">#REF!</definedName>
    <definedName name="West_Bounding_Coordinate" localSheetId="0">Metadata!$A$57</definedName>
    <definedName name="West_Bounding_Coordinate" localSheetId="2">[1]Metadata!$A$57</definedName>
    <definedName name="West_Bounding_Coordinate">#REF!</definedName>
    <definedName name="Year_Released_to_Public" localSheetId="0">Metadata!$A$3</definedName>
    <definedName name="Year_Released_to_Public" localSheetId="2">[1]Metadata!$A$3</definedName>
    <definedName name="Year_Released_to_Public">#REF!</definedName>
    <definedName name="Zip_Code" localSheetId="0">Metadata!$A$25</definedName>
    <definedName name="Zip_Code" localSheetId="2">[1]Metadata!$A$25</definedName>
    <definedName name="Zip_Code">#REF!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1" l="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2" i="1"/>
  <c r="M576" i="3" l="1"/>
  <c r="M575" i="3"/>
  <c r="M574" i="3"/>
  <c r="M573" i="3"/>
  <c r="M572" i="3"/>
  <c r="M571" i="3"/>
  <c r="M570" i="3"/>
  <c r="M569" i="3"/>
  <c r="M568" i="3"/>
  <c r="M567" i="3"/>
  <c r="M566" i="3"/>
  <c r="M565" i="3"/>
  <c r="M564" i="3"/>
  <c r="M563" i="3"/>
  <c r="M562" i="3"/>
  <c r="M561" i="3"/>
  <c r="M560" i="3"/>
  <c r="M559" i="3"/>
  <c r="M558" i="3"/>
  <c r="M557" i="3"/>
  <c r="M556" i="3"/>
  <c r="M555" i="3"/>
  <c r="M554" i="3"/>
  <c r="M553" i="3"/>
  <c r="M552" i="3"/>
  <c r="M551" i="3"/>
  <c r="M550" i="3"/>
  <c r="M549" i="3"/>
  <c r="M548" i="3"/>
  <c r="M547" i="3"/>
  <c r="M546" i="3"/>
  <c r="M545" i="3"/>
  <c r="M544" i="3"/>
  <c r="M543" i="3"/>
  <c r="M542" i="3"/>
  <c r="M541" i="3"/>
  <c r="M540" i="3"/>
  <c r="M539" i="3"/>
  <c r="M538" i="3"/>
  <c r="M537" i="3"/>
  <c r="M536" i="3"/>
  <c r="M535" i="3"/>
  <c r="M534" i="3"/>
  <c r="M533" i="3"/>
  <c r="M532" i="3"/>
  <c r="M531" i="3"/>
  <c r="M530" i="3"/>
  <c r="M529" i="3"/>
  <c r="M528" i="3"/>
  <c r="M527" i="3"/>
  <c r="M526" i="3"/>
  <c r="M525" i="3"/>
  <c r="M524" i="3"/>
  <c r="M523" i="3"/>
  <c r="M522" i="3"/>
  <c r="M521" i="3"/>
  <c r="M520" i="3"/>
  <c r="M519" i="3"/>
  <c r="M518" i="3"/>
  <c r="M517" i="3"/>
  <c r="M516" i="3"/>
  <c r="M515" i="3"/>
  <c r="M514" i="3"/>
  <c r="M513" i="3"/>
  <c r="M512" i="3"/>
  <c r="M511" i="3"/>
  <c r="M510" i="3"/>
  <c r="M509" i="3"/>
  <c r="M508" i="3"/>
  <c r="M507" i="3"/>
  <c r="M506" i="3"/>
  <c r="M505" i="3"/>
  <c r="M504" i="3"/>
  <c r="M503" i="3"/>
  <c r="M502" i="3"/>
  <c r="M501" i="3"/>
  <c r="M500" i="3"/>
  <c r="M499" i="3"/>
  <c r="M498" i="3"/>
  <c r="M497" i="3"/>
  <c r="M496" i="3"/>
  <c r="M495" i="3"/>
  <c r="M494" i="3"/>
  <c r="M493" i="3"/>
  <c r="M492" i="3"/>
  <c r="M491" i="3"/>
  <c r="M490" i="3"/>
  <c r="M489" i="3"/>
  <c r="M488" i="3"/>
  <c r="M487" i="3"/>
  <c r="M486" i="3"/>
  <c r="M485" i="3"/>
  <c r="M484" i="3"/>
  <c r="M483" i="3"/>
  <c r="M482" i="3"/>
  <c r="M481" i="3"/>
  <c r="M480" i="3"/>
  <c r="M479" i="3"/>
  <c r="M478" i="3"/>
  <c r="M477" i="3"/>
  <c r="M476" i="3"/>
  <c r="M475" i="3"/>
  <c r="M474" i="3"/>
  <c r="M473" i="3"/>
  <c r="M472" i="3"/>
  <c r="M471" i="3"/>
  <c r="M470" i="3"/>
  <c r="M469" i="3"/>
  <c r="M468" i="3"/>
  <c r="M467" i="3"/>
  <c r="M466" i="3"/>
  <c r="M465" i="3"/>
  <c r="M464" i="3"/>
  <c r="M463" i="3"/>
  <c r="M462" i="3"/>
  <c r="M461" i="3"/>
  <c r="M460" i="3"/>
  <c r="M459" i="3"/>
  <c r="M458" i="3"/>
  <c r="M457" i="3"/>
  <c r="M456" i="3"/>
  <c r="M455" i="3"/>
  <c r="M454" i="3"/>
  <c r="M453" i="3"/>
  <c r="M452" i="3"/>
  <c r="M451" i="3"/>
  <c r="M450" i="3"/>
  <c r="M449" i="3"/>
  <c r="M448" i="3"/>
  <c r="M447" i="3"/>
  <c r="M446" i="3"/>
  <c r="M445" i="3"/>
  <c r="M444" i="3"/>
  <c r="M443" i="3"/>
  <c r="M442" i="3"/>
  <c r="M441" i="3"/>
  <c r="M440" i="3"/>
  <c r="M439" i="3"/>
  <c r="M438" i="3"/>
  <c r="M437" i="3"/>
  <c r="M436" i="3"/>
  <c r="M435" i="3"/>
  <c r="M434" i="3"/>
  <c r="M433" i="3"/>
  <c r="M432" i="3"/>
  <c r="M431" i="3"/>
  <c r="M430" i="3"/>
  <c r="M429" i="3"/>
  <c r="M428" i="3"/>
  <c r="M427" i="3"/>
  <c r="M426" i="3"/>
  <c r="M425" i="3"/>
  <c r="M424" i="3"/>
  <c r="M423" i="3"/>
  <c r="M422" i="3"/>
  <c r="M421" i="3"/>
  <c r="M420" i="3"/>
  <c r="M419" i="3"/>
  <c r="M418" i="3"/>
  <c r="M417" i="3"/>
  <c r="M416" i="3"/>
  <c r="M415" i="3"/>
  <c r="M414" i="3"/>
  <c r="M413" i="3"/>
  <c r="M412" i="3"/>
  <c r="M411" i="3"/>
  <c r="M410" i="3"/>
  <c r="M409" i="3"/>
  <c r="M408" i="3"/>
  <c r="M407" i="3"/>
  <c r="M406" i="3"/>
  <c r="M405" i="3"/>
  <c r="M404" i="3"/>
  <c r="M403" i="3"/>
  <c r="M402" i="3"/>
  <c r="M401" i="3"/>
  <c r="M400" i="3"/>
  <c r="M399" i="3"/>
  <c r="M398" i="3"/>
  <c r="M397" i="3"/>
  <c r="M396" i="3"/>
  <c r="M395" i="3"/>
  <c r="M394" i="3"/>
  <c r="M393" i="3"/>
  <c r="M392" i="3"/>
  <c r="M391" i="3"/>
  <c r="M390" i="3"/>
  <c r="M389" i="3"/>
  <c r="M388" i="3"/>
  <c r="M387" i="3"/>
  <c r="M386" i="3"/>
  <c r="M385" i="3"/>
  <c r="M384" i="3"/>
  <c r="M383" i="3"/>
  <c r="M382" i="3"/>
  <c r="M381" i="3"/>
  <c r="M380" i="3"/>
  <c r="M379" i="3"/>
  <c r="M378" i="3"/>
  <c r="M377" i="3"/>
  <c r="M376" i="3"/>
  <c r="M375" i="3"/>
  <c r="M374" i="3"/>
  <c r="M373" i="3"/>
  <c r="M372" i="3"/>
  <c r="M371" i="3"/>
  <c r="M370" i="3"/>
  <c r="M369" i="3"/>
  <c r="M368" i="3"/>
  <c r="M367" i="3"/>
  <c r="M366" i="3"/>
  <c r="M365" i="3"/>
  <c r="M364" i="3"/>
  <c r="M363" i="3"/>
  <c r="M362" i="3"/>
  <c r="M361" i="3"/>
  <c r="M360" i="3"/>
  <c r="M359" i="3"/>
  <c r="M358" i="3"/>
  <c r="M357" i="3"/>
  <c r="M356" i="3"/>
  <c r="M355" i="3"/>
  <c r="M354" i="3"/>
  <c r="M353" i="3"/>
  <c r="M352" i="3"/>
  <c r="M351" i="3"/>
  <c r="M350" i="3"/>
  <c r="M349" i="3"/>
  <c r="M348" i="3"/>
  <c r="M347" i="3"/>
  <c r="M346" i="3"/>
  <c r="M345" i="3"/>
  <c r="M344" i="3"/>
  <c r="M343" i="3"/>
  <c r="M342" i="3"/>
  <c r="M341" i="3"/>
  <c r="M340" i="3"/>
  <c r="M339" i="3"/>
  <c r="M338" i="3"/>
  <c r="M337" i="3"/>
  <c r="M336" i="3"/>
  <c r="M335" i="3"/>
  <c r="M334" i="3"/>
  <c r="M333" i="3"/>
  <c r="M332" i="3"/>
  <c r="M331" i="3"/>
  <c r="M330" i="3"/>
  <c r="M329" i="3"/>
  <c r="M328" i="3"/>
  <c r="M327" i="3"/>
  <c r="M326" i="3"/>
  <c r="M325" i="3"/>
  <c r="M324" i="3"/>
  <c r="M323" i="3"/>
  <c r="M322" i="3"/>
  <c r="M321" i="3"/>
  <c r="M320" i="3"/>
  <c r="M319" i="3"/>
  <c r="M318" i="3"/>
  <c r="M317" i="3"/>
  <c r="M316" i="3"/>
  <c r="M315" i="3"/>
  <c r="M314" i="3"/>
  <c r="M313" i="3"/>
  <c r="M312" i="3"/>
  <c r="M311" i="3"/>
  <c r="M310" i="3"/>
  <c r="M309" i="3"/>
  <c r="M308" i="3"/>
  <c r="M307" i="3"/>
  <c r="M306" i="3"/>
  <c r="M305" i="3"/>
  <c r="M304" i="3"/>
  <c r="M303" i="3"/>
  <c r="M302" i="3"/>
  <c r="M301" i="3"/>
  <c r="M300" i="3"/>
  <c r="M299" i="3"/>
  <c r="M298" i="3"/>
  <c r="M297" i="3"/>
  <c r="M296" i="3"/>
  <c r="M295" i="3"/>
  <c r="M294" i="3"/>
  <c r="M293" i="3"/>
  <c r="M292" i="3"/>
  <c r="M291" i="3"/>
  <c r="M290" i="3"/>
  <c r="M289" i="3"/>
  <c r="M288" i="3"/>
  <c r="M287" i="3"/>
  <c r="M286" i="3"/>
  <c r="M285" i="3"/>
  <c r="M284" i="3"/>
  <c r="M283" i="3"/>
  <c r="M282" i="3"/>
  <c r="M281" i="3"/>
  <c r="M280" i="3"/>
  <c r="M279" i="3"/>
  <c r="M278" i="3"/>
  <c r="M277" i="3"/>
  <c r="M276" i="3"/>
  <c r="M275" i="3"/>
  <c r="M274" i="3"/>
  <c r="M273" i="3"/>
  <c r="M272" i="3"/>
  <c r="M271" i="3"/>
  <c r="M270" i="3"/>
  <c r="M269" i="3"/>
  <c r="M268" i="3"/>
  <c r="M267" i="3"/>
  <c r="M266" i="3"/>
  <c r="M265" i="3"/>
  <c r="M264" i="3"/>
  <c r="M263" i="3"/>
  <c r="M262" i="3"/>
  <c r="M261" i="3"/>
  <c r="M260" i="3"/>
  <c r="M259" i="3"/>
  <c r="M258" i="3"/>
  <c r="M257" i="3"/>
  <c r="M256" i="3"/>
  <c r="M255" i="3"/>
  <c r="M254" i="3"/>
  <c r="M253" i="3"/>
  <c r="M252" i="3"/>
  <c r="M251" i="3"/>
  <c r="M250" i="3"/>
  <c r="M249" i="3"/>
  <c r="M248" i="3"/>
  <c r="M247" i="3"/>
  <c r="M246" i="3"/>
  <c r="M245" i="3"/>
  <c r="M244" i="3"/>
  <c r="M243" i="3"/>
  <c r="M242" i="3"/>
  <c r="M241" i="3"/>
  <c r="M240" i="3"/>
  <c r="M239" i="3"/>
  <c r="M238" i="3"/>
  <c r="M237" i="3"/>
  <c r="M236" i="3"/>
  <c r="M235" i="3"/>
  <c r="M234" i="3"/>
  <c r="M233" i="3"/>
  <c r="M232" i="3"/>
  <c r="M231" i="3"/>
  <c r="M230" i="3"/>
  <c r="M229" i="3"/>
  <c r="M228" i="3"/>
  <c r="M227" i="3"/>
  <c r="M226" i="3"/>
  <c r="M225" i="3"/>
  <c r="M224" i="3"/>
  <c r="M223" i="3"/>
  <c r="M222" i="3"/>
  <c r="M221" i="3"/>
  <c r="M220" i="3"/>
  <c r="M219" i="3"/>
  <c r="M218" i="3"/>
  <c r="M217" i="3"/>
  <c r="M216" i="3"/>
  <c r="M215" i="3"/>
  <c r="M214" i="3"/>
  <c r="M213" i="3"/>
  <c r="M212" i="3"/>
  <c r="M211" i="3"/>
  <c r="M210" i="3"/>
  <c r="M209" i="3"/>
  <c r="M208" i="3"/>
  <c r="M207" i="3"/>
  <c r="M206" i="3"/>
  <c r="M205" i="3"/>
  <c r="M204" i="3"/>
  <c r="M203" i="3"/>
  <c r="M202" i="3"/>
  <c r="M201" i="3"/>
  <c r="M200" i="3"/>
  <c r="M199" i="3"/>
  <c r="M198" i="3"/>
  <c r="M197" i="3"/>
  <c r="M196" i="3"/>
  <c r="M195" i="3"/>
  <c r="M194" i="3"/>
  <c r="M193" i="3"/>
  <c r="M192" i="3"/>
  <c r="M191" i="3"/>
  <c r="M190" i="3"/>
  <c r="M189" i="3"/>
  <c r="M188" i="3"/>
  <c r="M187" i="3"/>
  <c r="M186" i="3"/>
  <c r="M185" i="3"/>
  <c r="M184" i="3"/>
  <c r="M183" i="3"/>
  <c r="M182" i="3"/>
  <c r="M181" i="3"/>
  <c r="M180" i="3"/>
  <c r="M179" i="3"/>
  <c r="M178" i="3"/>
  <c r="M177" i="3"/>
  <c r="M176" i="3"/>
  <c r="M175" i="3"/>
  <c r="M174" i="3"/>
  <c r="M173" i="3"/>
  <c r="M172" i="3"/>
  <c r="M171" i="3"/>
  <c r="M170" i="3"/>
  <c r="M169" i="3"/>
  <c r="M168" i="3"/>
  <c r="M167" i="3"/>
  <c r="M166" i="3"/>
  <c r="M165" i="3"/>
  <c r="M164" i="3"/>
  <c r="M163" i="3"/>
  <c r="M162" i="3"/>
  <c r="M161" i="3"/>
  <c r="M160" i="3"/>
  <c r="M159" i="3"/>
  <c r="M158" i="3"/>
  <c r="M157" i="3"/>
  <c r="M156" i="3"/>
  <c r="M155" i="3"/>
  <c r="M154" i="3"/>
  <c r="M153" i="3"/>
  <c r="M152" i="3"/>
  <c r="M151" i="3"/>
  <c r="M150" i="3"/>
  <c r="M149" i="3"/>
  <c r="M148" i="3"/>
  <c r="M147" i="3"/>
  <c r="M146" i="3"/>
  <c r="M145" i="3"/>
  <c r="M144" i="3"/>
  <c r="M143" i="3"/>
  <c r="M142" i="3"/>
  <c r="M141" i="3"/>
  <c r="M140" i="3"/>
  <c r="M139" i="3"/>
  <c r="M138" i="3"/>
  <c r="M137" i="3"/>
  <c r="M136" i="3"/>
  <c r="M135" i="3"/>
  <c r="M134" i="3"/>
  <c r="M133" i="3"/>
  <c r="M132" i="3"/>
  <c r="M131" i="3"/>
  <c r="M130" i="3"/>
  <c r="M129" i="3"/>
  <c r="M128" i="3"/>
  <c r="M127" i="3"/>
  <c r="M126" i="3"/>
  <c r="M125" i="3"/>
  <c r="M124" i="3"/>
  <c r="M123" i="3"/>
  <c r="M122" i="3"/>
  <c r="M121" i="3"/>
  <c r="M120" i="3"/>
  <c r="M119" i="3"/>
  <c r="M118" i="3"/>
  <c r="M117" i="3"/>
  <c r="M116" i="3"/>
  <c r="M115" i="3"/>
  <c r="M114" i="3"/>
  <c r="M113" i="3"/>
  <c r="M112" i="3"/>
  <c r="M111" i="3"/>
  <c r="M110" i="3"/>
  <c r="M109" i="3"/>
  <c r="M108" i="3"/>
  <c r="M107" i="3"/>
  <c r="M106" i="3"/>
  <c r="M105" i="3"/>
  <c r="M104" i="3"/>
  <c r="M103" i="3"/>
  <c r="M102" i="3"/>
  <c r="M101" i="3"/>
  <c r="M100" i="3"/>
  <c r="M99" i="3"/>
  <c r="M98" i="3"/>
  <c r="M97" i="3"/>
  <c r="M96" i="3"/>
  <c r="M95" i="3"/>
  <c r="M94" i="3"/>
  <c r="M93" i="3"/>
  <c r="M92" i="3"/>
  <c r="M91" i="3"/>
  <c r="M90" i="3"/>
  <c r="M89" i="3"/>
  <c r="M88" i="3"/>
  <c r="M87" i="3"/>
  <c r="M86" i="3"/>
  <c r="M85" i="3"/>
  <c r="M84" i="3"/>
  <c r="M83" i="3"/>
  <c r="M82" i="3"/>
  <c r="M81" i="3"/>
  <c r="M80" i="3"/>
  <c r="M79" i="3"/>
  <c r="M78" i="3"/>
  <c r="M77" i="3"/>
  <c r="M76" i="3"/>
  <c r="M75" i="3"/>
  <c r="M74" i="3"/>
  <c r="M73" i="3"/>
  <c r="M72" i="3"/>
  <c r="M71" i="3"/>
  <c r="M70" i="3"/>
  <c r="M69" i="3"/>
  <c r="M68" i="3"/>
  <c r="M67" i="3"/>
  <c r="M66" i="3"/>
  <c r="M65" i="3"/>
  <c r="M64" i="3"/>
  <c r="M63" i="3"/>
  <c r="M62" i="3"/>
  <c r="M61" i="3"/>
  <c r="M60" i="3"/>
  <c r="M59" i="3"/>
  <c r="M58" i="3"/>
  <c r="M57" i="3"/>
  <c r="M56" i="3"/>
  <c r="M55" i="3"/>
  <c r="M54" i="3"/>
  <c r="M53" i="3"/>
  <c r="M52" i="3"/>
  <c r="M51" i="3"/>
  <c r="M50" i="3"/>
  <c r="M49" i="3"/>
  <c r="M48" i="3"/>
  <c r="M47" i="3"/>
  <c r="M46" i="3"/>
  <c r="M45" i="3"/>
  <c r="M44" i="3"/>
  <c r="M43" i="3"/>
  <c r="M42" i="3"/>
  <c r="M41" i="3"/>
  <c r="M40" i="3"/>
  <c r="M39" i="3"/>
  <c r="M38" i="3"/>
  <c r="M37" i="3"/>
  <c r="M36" i="3"/>
  <c r="M35" i="3"/>
  <c r="M34" i="3"/>
  <c r="M33" i="3"/>
  <c r="M32" i="3"/>
  <c r="M31" i="3"/>
  <c r="M30" i="3"/>
  <c r="M29" i="3"/>
  <c r="M28" i="3"/>
  <c r="M27" i="3"/>
  <c r="M26" i="3"/>
  <c r="M25" i="3"/>
  <c r="M24" i="3"/>
  <c r="M23" i="3"/>
  <c r="M22" i="3"/>
  <c r="M21" i="3"/>
  <c r="M20" i="3"/>
  <c r="M19" i="3"/>
  <c r="M18" i="3"/>
  <c r="M17" i="3"/>
  <c r="M16" i="3"/>
  <c r="M15" i="3"/>
  <c r="M14" i="3"/>
  <c r="M13" i="3"/>
  <c r="M12" i="3"/>
  <c r="M11" i="3"/>
  <c r="M10" i="3"/>
  <c r="M9" i="3"/>
  <c r="M8" i="3"/>
  <c r="M7" i="3"/>
  <c r="M6" i="3"/>
  <c r="M5" i="3"/>
  <c r="M4" i="3"/>
  <c r="M3" i="3"/>
  <c r="B65" i="2"/>
  <c r="V64" i="2"/>
  <c r="U64" i="2"/>
  <c r="T64" i="2"/>
  <c r="S64" i="2"/>
  <c r="R64" i="2"/>
  <c r="Q64" i="2"/>
  <c r="P64" i="2"/>
  <c r="O64" i="2"/>
  <c r="N64" i="2"/>
  <c r="M64" i="2"/>
  <c r="L64" i="2"/>
  <c r="K64" i="2"/>
  <c r="J64" i="2"/>
  <c r="I64" i="2"/>
  <c r="H64" i="2"/>
  <c r="G64" i="2"/>
  <c r="F64" i="2"/>
  <c r="E64" i="2"/>
  <c r="D64" i="2"/>
  <c r="V63" i="2"/>
  <c r="U63" i="2"/>
  <c r="T63" i="2"/>
  <c r="S63" i="2"/>
  <c r="R63" i="2"/>
  <c r="Q63" i="2"/>
  <c r="P63" i="2"/>
  <c r="O63" i="2"/>
  <c r="N63" i="2"/>
  <c r="M63" i="2"/>
  <c r="L63" i="2"/>
  <c r="K63" i="2"/>
  <c r="J63" i="2"/>
  <c r="I63" i="2"/>
  <c r="H63" i="2"/>
  <c r="G63" i="2"/>
  <c r="F63" i="2"/>
  <c r="E63" i="2"/>
  <c r="D63" i="2"/>
  <c r="V62" i="2"/>
  <c r="V65" i="2" s="1"/>
  <c r="U62" i="2"/>
  <c r="U65" i="2" s="1"/>
  <c r="T62" i="2"/>
  <c r="T65" i="2" s="1"/>
  <c r="S62" i="2"/>
  <c r="S65" i="2" s="1"/>
  <c r="R62" i="2"/>
  <c r="R65" i="2" s="1"/>
  <c r="Q62" i="2"/>
  <c r="Q65" i="2" s="1"/>
  <c r="P62" i="2"/>
  <c r="P65" i="2" s="1"/>
  <c r="O62" i="2"/>
  <c r="O65" i="2" s="1"/>
  <c r="N62" i="2"/>
  <c r="N65" i="2" s="1"/>
  <c r="M62" i="2"/>
  <c r="M65" i="2" s="1"/>
  <c r="L62" i="2"/>
  <c r="L65" i="2" s="1"/>
  <c r="K62" i="2"/>
  <c r="K65" i="2" s="1"/>
  <c r="J62" i="2"/>
  <c r="J65" i="2" s="1"/>
  <c r="I62" i="2"/>
  <c r="I65" i="2" s="1"/>
  <c r="H62" i="2"/>
  <c r="H65" i="2" s="1"/>
  <c r="G62" i="2"/>
  <c r="G65" i="2" s="1"/>
  <c r="F62" i="2"/>
  <c r="F65" i="2" s="1"/>
  <c r="E62" i="2"/>
  <c r="E65" i="2" s="1"/>
  <c r="D62" i="2"/>
  <c r="D65" i="2" s="1"/>
  <c r="V55" i="2"/>
  <c r="U55" i="2"/>
  <c r="T55" i="2"/>
  <c r="S55" i="2"/>
  <c r="R55" i="2"/>
  <c r="Q55" i="2"/>
  <c r="P55" i="2"/>
  <c r="O55" i="2"/>
  <c r="N55" i="2"/>
  <c r="M55" i="2"/>
  <c r="L55" i="2"/>
  <c r="K55" i="2"/>
  <c r="J55" i="2"/>
  <c r="I55" i="2"/>
  <c r="H55" i="2"/>
  <c r="G55" i="2"/>
  <c r="F55" i="2"/>
  <c r="E55" i="2"/>
  <c r="D5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 Laundre</author>
    <author>jiml</author>
    <author xml:space="preserve"> Jim Laundre</author>
    <author>James Laundre</author>
    <author>powell</author>
    <author>Jim Laundre</author>
    <author>ruggem</author>
    <author>Field Description</author>
  </authors>
  <commentList>
    <comment ref="A2" authorId="0" shapeId="0" xr:uid="{00000000-0006-0000-0000-000001000000}">
      <text>
        <r>
          <rPr>
            <sz val="8"/>
            <color indexed="81"/>
            <rFont val="Tahoma"/>
            <family val="2"/>
          </rPr>
          <t>A unique number assigned by the Information Manager 
for use with  Metacat server.  You DO NOT need to enter anything.</t>
        </r>
      </text>
    </comment>
    <comment ref="A3" authorId="0" shapeId="0" xr:uid="{00000000-0006-0000-0000-000002000000}">
      <text>
        <r>
          <rPr>
            <sz val="8"/>
            <color indexed="81"/>
            <rFont val="Tahoma"/>
            <family val="2"/>
          </rPr>
          <t>Year of public release of the data. Filled out by the Information Manager.
  You DO NOT need to enter anything.</t>
        </r>
      </text>
    </comment>
    <comment ref="A4" authorId="1" shapeId="0" xr:uid="{00000000-0006-0000-0000-000003000000}">
      <text>
        <r>
          <rPr>
            <b/>
            <sz val="8"/>
            <color indexed="81"/>
            <rFont val="Tahoma"/>
            <family val="2"/>
          </rPr>
          <t xml:space="preserve">This is the URL for the metadata file.  It is filled in by the Information Manager. You DO NOT need to enter anything.
</t>
        </r>
        <r>
          <rPr>
            <sz val="8"/>
            <color indexed="81"/>
            <rFont val="Tahoma"/>
            <family val="2"/>
          </rPr>
          <t xml:space="preserve">
</t>
        </r>
      </text>
    </comment>
    <comment ref="A5" authorId="0" shapeId="0" xr:uid="{00000000-0006-0000-0000-000004000000}">
      <text>
        <r>
          <rPr>
            <b/>
            <sz val="8"/>
            <color indexed="81"/>
            <rFont val="Tahoma"/>
            <family val="2"/>
          </rPr>
          <t>A title for the dataset.  It should be less then 200 characters 
long and should describe the data collected, geographic context, 
research site, and time frame (</t>
        </r>
        <r>
          <rPr>
            <b/>
            <sz val="10"/>
            <color indexed="81"/>
            <rFont val="Tahoma"/>
            <family val="2"/>
          </rPr>
          <t>what, where, and when).</t>
        </r>
        <r>
          <rPr>
            <sz val="8"/>
            <color indexed="81"/>
            <rFont val="Tahoma"/>
            <family val="2"/>
          </rPr>
          <t xml:space="preserve">
For example: Soluble reactive phosphorus, ammonium, and nitrate data from the Kuparuk River, near Toolik Field Station, Alaska, summers 1990-2010.</t>
        </r>
      </text>
    </comment>
    <comment ref="B5" authorId="0" shapeId="0" xr:uid="{00000000-0006-0000-0000-000005000000}">
      <text>
        <r>
          <rPr>
            <b/>
            <sz val="8"/>
            <color indexed="81"/>
            <rFont val="Tahoma"/>
            <family val="2"/>
          </rPr>
          <t>A title for the dataset.  It should be less then 200 characters 
long and should describe the data collected, geographic context, 
research site, and time frame (</t>
        </r>
        <r>
          <rPr>
            <b/>
            <sz val="10"/>
            <color indexed="81"/>
            <rFont val="Tahoma"/>
            <family val="2"/>
          </rPr>
          <t>what, where, and when).</t>
        </r>
        <r>
          <rPr>
            <sz val="8"/>
            <color indexed="81"/>
            <rFont val="Tahoma"/>
            <family val="2"/>
          </rPr>
          <t xml:space="preserve">
For example: Soluble reactive phosphorus, ammonium, and nitrate data from the Kuparuk River, near Toolik Field Station, Alaska, summers 1990-2010.</t>
        </r>
      </text>
    </comment>
    <comment ref="A6" authorId="0" shapeId="0" xr:uid="{00000000-0006-0000-0000-000006000000}">
      <text>
        <r>
          <rPr>
            <b/>
            <sz val="8"/>
            <color indexed="81"/>
            <rFont val="Tahoma"/>
            <family val="2"/>
          </rPr>
          <t xml:space="preserve">Short, accurate explanation of the data set. Be informative since this is
used as the description in the web page index. Double click on the box 
to write or paste the information.  </t>
        </r>
        <r>
          <rPr>
            <sz val="8"/>
            <color indexed="81"/>
            <rFont val="Tahoma"/>
            <family val="2"/>
          </rPr>
          <t xml:space="preserve">
</t>
        </r>
      </text>
    </comment>
    <comment ref="B7" authorId="2" shapeId="0" xr:uid="{00000000-0006-0000-0000-000007000000}">
      <text>
        <r>
          <rPr>
            <b/>
            <sz val="8"/>
            <color indexed="81"/>
            <rFont val="Tahoma"/>
            <family val="2"/>
          </rPr>
          <t xml:space="preserve"> Enter a short, accurate explanation of the dataset in the box below. Be informative since it is used as the description in the web page index. </t>
        </r>
      </text>
    </comment>
    <comment ref="A13" authorId="0" shapeId="0" xr:uid="{00000000-0006-0000-0000-000008000000}">
      <text>
        <r>
          <rPr>
            <sz val="8"/>
            <color indexed="81"/>
            <rFont val="Tahoma"/>
            <family val="2"/>
          </rPr>
          <t xml:space="preserve">The dataset identifier is a unique label for the data set that 
is constructed from the file name without the file extension, 
followed by a version number, e.g. 1998dltlh.01.  If there are 
any changes made to the metadata or data files the version
 number is incremented and a note is added in the </t>
        </r>
        <r>
          <rPr>
            <b/>
            <sz val="8"/>
            <color indexed="81"/>
            <rFont val="Tahoma"/>
            <family val="2"/>
          </rPr>
          <t>Log of Changes</t>
        </r>
        <r>
          <rPr>
            <sz val="8"/>
            <color indexed="81"/>
            <rFont val="Tahoma"/>
            <family val="2"/>
          </rPr>
          <t xml:space="preserve"> section.
</t>
        </r>
      </text>
    </comment>
    <comment ref="B13" authorId="0" shapeId="0" xr:uid="{00000000-0006-0000-0000-000009000000}">
      <text>
        <r>
          <rPr>
            <sz val="8"/>
            <color indexed="81"/>
            <rFont val="Tahoma"/>
            <family val="2"/>
          </rPr>
          <t xml:space="preserve">The dataset identifier is a unique label for the data set that 
is constructed from the file name without the file extension, 
followed by a version number, e.g. 1998dltlh.01.  If there are 
any changes made to the metadata or data files the version
 number is incremented and a note is added in the </t>
        </r>
        <r>
          <rPr>
            <b/>
            <sz val="8"/>
            <color indexed="81"/>
            <rFont val="Tahoma"/>
            <family val="2"/>
          </rPr>
          <t>Log of Changes</t>
        </r>
        <r>
          <rPr>
            <sz val="8"/>
            <color indexed="81"/>
            <rFont val="Tahoma"/>
            <family val="2"/>
          </rPr>
          <t xml:space="preserve"> section.
</t>
        </r>
      </text>
    </comment>
    <comment ref="A15" authorId="3" shapeId="0" xr:uid="{00000000-0006-0000-0000-00000A000000}">
      <text>
        <r>
          <rPr>
            <b/>
            <sz val="8"/>
            <color indexed="81"/>
            <rFont val="Tahoma"/>
            <family val="2"/>
          </rPr>
          <t xml:space="preserve">List here the name and address of the  persons associated with the data set.  The Owner role  identifies the person to be contacted for more information.
</t>
        </r>
        <r>
          <rPr>
            <b/>
            <sz val="8"/>
            <color indexed="10"/>
            <rFont val="Tahoma"/>
            <family val="2"/>
          </rPr>
          <t xml:space="preserve">
</t>
        </r>
      </text>
    </comment>
    <comment ref="A29" authorId="3" shapeId="0" xr:uid="{00000000-0006-0000-0000-00000B000000}">
      <text>
        <r>
          <rPr>
            <b/>
            <sz val="8"/>
            <color indexed="81"/>
            <rFont val="Tahoma"/>
            <family val="2"/>
          </rPr>
          <t xml:space="preserve">The format of the data file should always be ASCII comma delimited with a .csv extension. The first line of the data file MUST be  a comma delimited list of the variable names. A spreadsheet or database file may also be included, but it must have the first row with the variable names and only data below the names. </t>
        </r>
        <r>
          <rPr>
            <b/>
            <sz val="8"/>
            <color indexed="10"/>
            <rFont val="Tahoma"/>
            <family val="2"/>
          </rPr>
          <t>There can not be any other stray data on the sheet.</t>
        </r>
        <r>
          <rPr>
            <sz val="8"/>
            <color indexed="81"/>
            <rFont val="Tahoma"/>
            <family val="2"/>
          </rPr>
          <t xml:space="preserve">
NOTE: Change in file extension from .data to .csv starting in 2010.</t>
        </r>
      </text>
    </comment>
    <comment ref="A30" authorId="1" shapeId="0" xr:uid="{00000000-0006-0000-0000-00000C000000}">
      <text>
        <r>
          <rPr>
            <b/>
            <sz val="8"/>
            <color indexed="81"/>
            <rFont val="Tahoma"/>
            <family val="2"/>
          </rPr>
          <t>The URL for the data file that this metadata describes.  This will be fill in by the Information Manager.  You Do NOT need to fill in.</t>
        </r>
      </text>
    </comment>
    <comment ref="A31" authorId="3" shapeId="0" xr:uid="{00000000-0006-0000-0000-00000D000000}">
      <text>
        <r>
          <rPr>
            <b/>
            <sz val="8"/>
            <color indexed="81"/>
            <rFont val="Tahoma"/>
            <family val="2"/>
          </rPr>
          <t xml:space="preserve">File naming convention is as follows: First four characters
 are for the year the data were collected. If the file is a 
multiyear collection then use eight or nine characters to
 indicate the span of years. Next characters are for the 
data type identifier. This can either be a PI's initials or a 
data type code, e.g. a lake code, dl for data logger, etc. 
The next four to ten characters are for briefly describing 
the data file. File extensions are .txt for document files and 
.csv for data files. Please do not create excessively long 
names and do not use spaces in the filename. Note that 
we are no longer limiting the name to eight characters.
</t>
        </r>
      </text>
    </comment>
    <comment ref="B31" authorId="3" shapeId="0" xr:uid="{00000000-0006-0000-0000-00000E000000}">
      <text>
        <r>
          <rPr>
            <b/>
            <sz val="8"/>
            <color indexed="81"/>
            <rFont val="Tahoma"/>
            <family val="2"/>
          </rPr>
          <t xml:space="preserve">File naming convention is as follows: First four characters
 are for the year the data were collected. If the file is a 
multiyear collection then use eight or nine characters to
 indicate the span of years. Next characters are for the 
data type identifier. This can either be a PI's initials or a 
data type code, e.g. a lake code, dl for data logger, etc. 
The next four to ten characters are for briefly describing 
the data file. File extensions are .txt for document files and 
.csv for data files. Please do not create excessively long 
names and do not use spaces in the filename. Note that 
we are no longer limiting the name to eight characters.
</t>
        </r>
      </text>
    </comment>
    <comment ref="A32" authorId="3" shapeId="0" xr:uid="{00000000-0006-0000-0000-00000F000000}">
      <text>
        <r>
          <rPr>
            <b/>
            <sz val="8"/>
            <color indexed="81"/>
            <rFont val="Tahoma"/>
            <family val="2"/>
          </rPr>
          <t xml:space="preserve"> The date that data collection began for the dataset.</t>
        </r>
      </text>
    </comment>
    <comment ref="B32" authorId="3" shapeId="0" xr:uid="{00000000-0006-0000-0000-000010000000}">
      <text>
        <r>
          <rPr>
            <b/>
            <sz val="8"/>
            <color indexed="81"/>
            <rFont val="Tahoma"/>
            <family val="2"/>
          </rPr>
          <t xml:space="preserve"> The date that data collection began for the dataset.</t>
        </r>
      </text>
    </comment>
    <comment ref="A33" authorId="0" shapeId="0" xr:uid="{00000000-0006-0000-0000-000011000000}">
      <text>
        <r>
          <rPr>
            <b/>
            <sz val="8"/>
            <color indexed="81"/>
            <rFont val="Tahoma"/>
            <family val="2"/>
          </rPr>
          <t>The ending date of data collection.</t>
        </r>
        <r>
          <rPr>
            <sz val="8"/>
            <color indexed="81"/>
            <rFont val="Tahoma"/>
            <family val="2"/>
          </rPr>
          <t xml:space="preserve">
</t>
        </r>
      </text>
    </comment>
    <comment ref="B33" authorId="0" shapeId="0" xr:uid="{00000000-0006-0000-0000-000012000000}">
      <text>
        <r>
          <rPr>
            <b/>
            <sz val="8"/>
            <color indexed="81"/>
            <rFont val="Tahoma"/>
            <family val="2"/>
          </rPr>
          <t>The ending date of data collection.</t>
        </r>
        <r>
          <rPr>
            <sz val="8"/>
            <color indexed="81"/>
            <rFont val="Tahoma"/>
            <family val="2"/>
          </rPr>
          <t xml:space="preserve">
</t>
        </r>
      </text>
    </comment>
    <comment ref="A34" authorId="4" shapeId="0" xr:uid="{00000000-0006-0000-0000-000013000000}">
      <text>
        <r>
          <rPr>
            <b/>
            <sz val="8"/>
            <color indexed="81"/>
            <rFont val="Tahoma"/>
            <family val="2"/>
          </rPr>
          <t xml:space="preserve">Number of Data Records field:
</t>
        </r>
        <r>
          <rPr>
            <sz val="8"/>
            <color indexed="81"/>
            <rFont val="Tahoma"/>
            <family val="2"/>
          </rPr>
          <t>Total number of Data Records found in the dataset.</t>
        </r>
        <r>
          <rPr>
            <sz val="8"/>
            <color indexed="81"/>
            <rFont val="Tahoma"/>
            <family val="2"/>
          </rPr>
          <t xml:space="preserve"> This is typically an integer value.</t>
        </r>
      </text>
    </comment>
    <comment ref="B34" authorId="4" shapeId="0" xr:uid="{00000000-0006-0000-0000-000014000000}">
      <text>
        <r>
          <rPr>
            <b/>
            <sz val="8"/>
            <color indexed="81"/>
            <rFont val="Tahoma"/>
            <family val="2"/>
          </rPr>
          <t xml:space="preserve">Number of Data Records field:
</t>
        </r>
        <r>
          <rPr>
            <sz val="8"/>
            <color indexed="81"/>
            <rFont val="Tahoma"/>
            <family val="2"/>
          </rPr>
          <t>Total number of Data Records found in the dataset.</t>
        </r>
        <r>
          <rPr>
            <sz val="8"/>
            <color indexed="81"/>
            <rFont val="Tahoma"/>
            <family val="2"/>
          </rPr>
          <t xml:space="preserve"> This is typically an integer value.</t>
        </r>
      </text>
    </comment>
    <comment ref="A35" authorId="0" shapeId="0" xr:uid="{00000000-0006-0000-0000-000015000000}">
      <text>
        <r>
          <rPr>
            <b/>
            <sz val="8"/>
            <color indexed="81"/>
            <rFont val="Tahoma"/>
            <family val="2"/>
          </rPr>
          <t>Any other files that are related to this data file. 
If not part of the Arctic LTER database then list full reference to the file.</t>
        </r>
        <r>
          <rPr>
            <sz val="8"/>
            <color indexed="81"/>
            <rFont val="Tahoma"/>
            <family val="2"/>
          </rPr>
          <t xml:space="preserve">
</t>
        </r>
      </text>
    </comment>
    <comment ref="B35" authorId="0" shapeId="0" xr:uid="{00000000-0006-0000-0000-000016000000}">
      <text>
        <r>
          <rPr>
            <b/>
            <sz val="8"/>
            <color indexed="81"/>
            <rFont val="Tahoma"/>
            <family val="2"/>
          </rPr>
          <t>Any other files that are related to this data file. 
If not part of the Arctic LTER database then list full reference to the file.</t>
        </r>
        <r>
          <rPr>
            <sz val="8"/>
            <color indexed="81"/>
            <rFont val="Tahoma"/>
            <family val="2"/>
          </rPr>
          <t xml:space="preserve">
</t>
        </r>
      </text>
    </comment>
    <comment ref="A36" authorId="3" shapeId="0" xr:uid="{00000000-0006-0000-0000-000017000000}">
      <text>
        <r>
          <rPr>
            <b/>
            <sz val="8"/>
            <color indexed="81"/>
            <rFont val="Tahoma"/>
            <family val="2"/>
          </rPr>
          <t xml:space="preserve">Type of Availability Status 
Type 1: data available within 2-3 years with few or no restrictions. 
Type 2: in exceptional cases, data sets are available only with
 permission from the ARC LTER investigator. This status is 
rare and needs written justification.
</t>
        </r>
      </text>
    </comment>
    <comment ref="B36" authorId="3" shapeId="0" xr:uid="{00000000-0006-0000-0000-000018000000}">
      <text>
        <r>
          <rPr>
            <b/>
            <sz val="8"/>
            <color indexed="81"/>
            <rFont val="Tahoma"/>
            <family val="2"/>
          </rPr>
          <t xml:space="preserve">Type of Availability Status 
Type 1: data available within 2-3 years with few or no restrictions. 
Type 2: in exceptional cases, data sets are available only with
 permission from the ARC LTER investigator. This status is 
rare and needs written justification.
</t>
        </r>
      </text>
    </comment>
    <comment ref="A37" authorId="4" shapeId="0" xr:uid="{00000000-0006-0000-0000-000019000000}">
      <text>
        <r>
          <rPr>
            <sz val="8"/>
            <color indexed="81"/>
            <rFont val="Tahoma"/>
            <family val="2"/>
          </rPr>
          <t xml:space="preserve">A description of the Quality Control procedures that relate to the dataset. </t>
        </r>
      </text>
    </comment>
    <comment ref="B37" authorId="4" shapeId="0" xr:uid="{00000000-0006-0000-0000-00001A000000}">
      <text>
        <r>
          <rPr>
            <sz val="8"/>
            <color indexed="81"/>
            <rFont val="Tahoma"/>
            <family val="2"/>
          </rPr>
          <t xml:space="preserve">A description of the Quality Control procedures that relate to the dataset. </t>
        </r>
      </text>
    </comment>
    <comment ref="A38" authorId="4" shapeId="0" xr:uid="{00000000-0006-0000-0000-00001B000000}">
      <text>
        <r>
          <rPr>
            <sz val="8"/>
            <color indexed="81"/>
            <rFont val="Tahoma"/>
            <family val="2"/>
          </rPr>
          <t xml:space="preserve">A description of the maintenance of this data resource. 
This includes information about the frequency of update, 
and whether there is ongoing data collection. </t>
        </r>
      </text>
    </comment>
    <comment ref="B38" authorId="4" shapeId="0" xr:uid="{00000000-0006-0000-0000-00001C000000}">
      <text>
        <r>
          <rPr>
            <sz val="8"/>
            <color indexed="81"/>
            <rFont val="Tahoma"/>
            <family val="2"/>
          </rPr>
          <t xml:space="preserve">A description of the maintenance of this data resource. 
This includes information about the frequency of update, 
and whether there is ongoing data collection. </t>
        </r>
      </text>
    </comment>
    <comment ref="A39" authorId="0" shapeId="0" xr:uid="{00000000-0006-0000-0000-00001D000000}">
      <text>
        <r>
          <rPr>
            <sz val="10"/>
            <color indexed="81"/>
            <rFont val="Tahoma"/>
            <family val="2"/>
          </rPr>
          <t xml:space="preserve">The log should list a date and the reason for any changes.  
</t>
        </r>
        <r>
          <rPr>
            <sz val="10"/>
            <color indexed="10"/>
            <rFont val="Tahoma"/>
            <family val="2"/>
          </rPr>
          <t xml:space="preserve">This log should be filled in whenever there is a change in the dataset. </t>
        </r>
        <r>
          <rPr>
            <sz val="10"/>
            <color indexed="81"/>
            <rFont val="Tahoma"/>
            <family val="2"/>
          </rPr>
          <t xml:space="preserve">
Insert more rows when need.</t>
        </r>
      </text>
    </comment>
    <comment ref="B39" authorId="0" shapeId="0" xr:uid="{00000000-0006-0000-0000-00001E000000}">
      <text>
        <r>
          <rPr>
            <sz val="10"/>
            <color indexed="81"/>
            <rFont val="Tahoma"/>
            <family val="2"/>
          </rPr>
          <t xml:space="preserve">The log should list a date and the reason for any changes.  
</t>
        </r>
        <r>
          <rPr>
            <sz val="10"/>
            <color indexed="10"/>
            <rFont val="Tahoma"/>
            <family val="2"/>
          </rPr>
          <t xml:space="preserve">This log should be filled in whenever there is a change in the dataset. </t>
        </r>
        <r>
          <rPr>
            <sz val="10"/>
            <color indexed="81"/>
            <rFont val="Tahoma"/>
            <family val="2"/>
          </rPr>
          <t xml:space="preserve">
Insert more rows when need.</t>
        </r>
      </text>
    </comment>
    <comment ref="A53" authorId="3" shapeId="0" xr:uid="{00000000-0006-0000-0000-00001F000000}">
      <text>
        <r>
          <rPr>
            <b/>
            <sz val="8"/>
            <color indexed="81"/>
            <rFont val="Tahoma"/>
            <family val="2"/>
          </rPr>
          <t xml:space="preserve">The name of the sampling location or site number (from the official ARC 
LTER site list),  a description, latitude and longitude if you have it. 
Remember to include not only the name, but, when necessary, details 
and descriptions of the sampling location. Examples would be: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
If the location is best described by a bounding box then enter the coordinates in decimal 
degrees below.  If the location is known by a single latitude and longitude 
then enter the coordinates in the latitude and longitude cells below.
</t>
        </r>
      </text>
    </comment>
    <comment ref="A54" authorId="3" shapeId="0" xr:uid="{00000000-0006-0000-0000-000020000000}">
      <text>
        <r>
          <rPr>
            <b/>
            <sz val="8"/>
            <color indexed="81"/>
            <rFont val="Tahoma"/>
            <family val="2"/>
          </rPr>
          <t xml:space="preserve">The name of the sampling location or site number (from the official ARC 
LTER site list).  If the site is not in the Arctic LTER site list then enter a 
new name. The description, latitude and longitude should also be filled in.  
If the location is best described by a bounding box  enter the coordinates in  below.  If the location is known by a single latitude and longitude 
then enter the coordinates in the latitude and longitude cells below. ALL in </t>
        </r>
        <r>
          <rPr>
            <b/>
            <sz val="8"/>
            <color indexed="39"/>
            <rFont val="Tahoma"/>
            <family val="2"/>
          </rPr>
          <t>decimal 
degrees.</t>
        </r>
        <r>
          <rPr>
            <b/>
            <sz val="8"/>
            <color indexed="81"/>
            <rFont val="Tahoma"/>
            <family val="2"/>
          </rPr>
          <t xml:space="preserve">
</t>
        </r>
      </text>
    </comment>
    <comment ref="B54" authorId="1" shapeId="0" xr:uid="{00000000-0006-0000-0000-000021000000}">
      <text>
        <r>
          <rPr>
            <b/>
            <sz val="9"/>
            <color indexed="81"/>
            <rFont val="Tahoma"/>
            <family val="2"/>
          </rPr>
          <t xml:space="preserve">The name of the sampling location or site number (from the official ARC LTER site list) see the "ARC LTER sites" worksheet Or enter a new site here.
</t>
        </r>
      </text>
    </comment>
    <comment ref="A55" authorId="4" shapeId="0" xr:uid="{00000000-0006-0000-0000-000022000000}">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B55" authorId="4" shapeId="0" xr:uid="{00000000-0006-0000-0000-000023000000}">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55" authorId="4" shapeId="0" xr:uid="{00000000-0006-0000-0000-000024000000}">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D55" authorId="4" shapeId="0" xr:uid="{00000000-0006-0000-0000-000025000000}">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E55" authorId="4" shapeId="0" xr:uid="{00000000-0006-0000-0000-000026000000}">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F55" authorId="4" shapeId="0" xr:uid="{00000000-0006-0000-0000-000027000000}">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G55" authorId="4" shapeId="0" xr:uid="{00000000-0006-0000-0000-000028000000}">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H55" authorId="4" shapeId="0" xr:uid="{00000000-0006-0000-0000-000029000000}">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I55" authorId="4" shapeId="0" xr:uid="{00000000-0006-0000-0000-00002A000000}">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A57" authorId="4" shapeId="0" xr:uid="{00000000-0006-0000-0000-00002B000000}">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B57" authorId="4" shapeId="0" xr:uid="{00000000-0006-0000-0000-00002C000000}">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C57" authorId="4" shapeId="0" xr:uid="{00000000-0006-0000-0000-00002D000000}">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D57" authorId="4" shapeId="0" xr:uid="{00000000-0006-0000-0000-00002E000000}">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E57" authorId="4" shapeId="0" xr:uid="{00000000-0006-0000-0000-00002F000000}">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F57" authorId="4" shapeId="0" xr:uid="{00000000-0006-0000-0000-000030000000}">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G57" authorId="4" shapeId="0" xr:uid="{00000000-0006-0000-0000-000031000000}">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H57" authorId="4" shapeId="0" xr:uid="{00000000-0006-0000-0000-000032000000}">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A58" authorId="4" shapeId="0" xr:uid="{00000000-0006-0000-0000-000033000000}">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B58" authorId="4" shapeId="0" xr:uid="{00000000-0006-0000-0000-000034000000}">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C58" authorId="4" shapeId="0" xr:uid="{00000000-0006-0000-0000-000035000000}">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D58" authorId="4" shapeId="0" xr:uid="{00000000-0006-0000-0000-000036000000}">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E58" authorId="4" shapeId="0" xr:uid="{00000000-0006-0000-0000-000037000000}">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F58" authorId="4" shapeId="0" xr:uid="{00000000-0006-0000-0000-000038000000}">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G58" authorId="4" shapeId="0" xr:uid="{00000000-0006-0000-0000-000039000000}">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H58" authorId="4" shapeId="0" xr:uid="{00000000-0006-0000-0000-00003A000000}">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A59" authorId="4" shapeId="0" xr:uid="{00000000-0006-0000-0000-00003B000000}">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B59" authorId="4" shapeId="0" xr:uid="{00000000-0006-0000-0000-00003C000000}">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C59" authorId="4" shapeId="0" xr:uid="{00000000-0006-0000-0000-00003D000000}">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D59" authorId="4" shapeId="0" xr:uid="{00000000-0006-0000-0000-00003E000000}">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E59" authorId="4" shapeId="0" xr:uid="{00000000-0006-0000-0000-00003F000000}">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F59" authorId="4" shapeId="0" xr:uid="{00000000-0006-0000-0000-000040000000}">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G59" authorId="4" shapeId="0" xr:uid="{00000000-0006-0000-0000-000041000000}">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H59" authorId="4" shapeId="0" xr:uid="{00000000-0006-0000-0000-000042000000}">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A60" authorId="4" shapeId="0" xr:uid="{00000000-0006-0000-0000-000043000000}">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B60" authorId="4" shapeId="0" xr:uid="{00000000-0006-0000-0000-000044000000}">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C60" authorId="4" shapeId="0" xr:uid="{00000000-0006-0000-0000-000045000000}">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D60" authorId="4" shapeId="0" xr:uid="{00000000-0006-0000-0000-000046000000}">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E60" authorId="4" shapeId="0" xr:uid="{00000000-0006-0000-0000-000047000000}">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F60" authorId="4" shapeId="0" xr:uid="{00000000-0006-0000-0000-000048000000}">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G60" authorId="4" shapeId="0" xr:uid="{00000000-0006-0000-0000-000049000000}">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H60" authorId="4" shapeId="0" xr:uid="{00000000-0006-0000-0000-00004A000000}">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A62" authorId="4" shapeId="0" xr:uid="{00000000-0006-0000-0000-00004B000000}">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B62" authorId="4" shapeId="0" xr:uid="{00000000-0006-0000-0000-00004C000000}">
      <text>
        <r>
          <rPr>
            <sz val="8"/>
            <color indexed="81"/>
            <rFont val="Tahoma"/>
            <family val="2"/>
          </rPr>
          <t xml:space="preserve">This field is </t>
        </r>
        <r>
          <rPr>
            <sz val="8"/>
            <color indexed="10"/>
            <rFont val="Tahoma"/>
            <family val="2"/>
          </rPr>
          <t xml:space="preserve">REQURIED: </t>
        </r>
        <r>
          <rPr>
            <sz val="8"/>
            <color indexed="81"/>
            <rFont val="Tahoma"/>
            <family val="2"/>
          </rPr>
          <t>The name of the sampling location, latitude and longitude and datum if you have it. Include not only the name, but details and descriptions of the sampling location. 
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62" authorId="4" shapeId="0" xr:uid="{00000000-0006-0000-0000-00004D000000}">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D62" authorId="4" shapeId="0" xr:uid="{00000000-0006-0000-0000-00004E000000}">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E62" authorId="4" shapeId="0" xr:uid="{00000000-0006-0000-0000-00004F000000}">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F62" authorId="4" shapeId="0" xr:uid="{00000000-0006-0000-0000-000050000000}">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G62" authorId="4" shapeId="0" xr:uid="{00000000-0006-0000-0000-000051000000}">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H62" authorId="4" shapeId="0" xr:uid="{00000000-0006-0000-0000-000052000000}">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A63" authorId="4" shapeId="0" xr:uid="{00000000-0006-0000-0000-000053000000}">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B63" authorId="4" shapeId="0" xr:uid="{00000000-0006-0000-0000-000054000000}">
      <text>
        <r>
          <rPr>
            <sz val="8"/>
            <color indexed="81"/>
            <rFont val="Tahoma"/>
            <family val="2"/>
          </rPr>
          <t xml:space="preserve">This field is </t>
        </r>
        <r>
          <rPr>
            <sz val="8"/>
            <color indexed="10"/>
            <rFont val="Tahoma"/>
            <family val="2"/>
          </rPr>
          <t xml:space="preserve">REQURIED: </t>
        </r>
        <r>
          <rPr>
            <sz val="8"/>
            <color indexed="81"/>
            <rFont val="Tahoma"/>
            <family val="2"/>
          </rPr>
          <t>The name of the sampling location, latitude and longitude and datum if you have it. Include not only the name, but details and descriptions of the sampling location. 
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63" authorId="4" shapeId="0" xr:uid="{00000000-0006-0000-0000-000055000000}">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D63" authorId="4" shapeId="0" xr:uid="{00000000-0006-0000-0000-000056000000}">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E63" authorId="4" shapeId="0" xr:uid="{00000000-0006-0000-0000-000057000000}">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F63" authorId="4" shapeId="0" xr:uid="{00000000-0006-0000-0000-000058000000}">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G63" authorId="4" shapeId="0" xr:uid="{00000000-0006-0000-0000-000059000000}">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H63" authorId="4" shapeId="0" xr:uid="{00000000-0006-0000-0000-00005A000000}">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B64" authorId="4" shapeId="0" xr:uid="{00000000-0006-0000-0000-00005B000000}">
      <text>
        <r>
          <rPr>
            <sz val="8"/>
            <color indexed="81"/>
            <rFont val="Tahoma"/>
            <family val="2"/>
          </rPr>
          <t xml:space="preserve">This field is </t>
        </r>
        <r>
          <rPr>
            <sz val="8"/>
            <color indexed="10"/>
            <rFont val="Tahoma"/>
            <family val="2"/>
          </rPr>
          <t xml:space="preserve">REQURIED: </t>
        </r>
        <r>
          <rPr>
            <sz val="8"/>
            <color indexed="81"/>
            <rFont val="Tahoma"/>
            <family val="2"/>
          </rPr>
          <t>The name of the sampling location, latitude and longitude and datum if you have it. Include not only the name, but details and descriptions of the sampling location. 
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A65" authorId="1" shapeId="0" xr:uid="{00000000-0006-0000-0000-00005C000000}">
      <text>
        <r>
          <rPr>
            <b/>
            <sz val="9"/>
            <color indexed="81"/>
            <rFont val="Tahoma"/>
            <family val="2"/>
          </rPr>
          <t>This link is generated by a formula using the lat long.  It's a way oc checking the values entered.</t>
        </r>
      </text>
    </comment>
    <comment ref="A68" authorId="5" shapeId="0" xr:uid="{00000000-0006-0000-0000-00005D000000}">
      <text>
        <r>
          <rPr>
            <b/>
            <sz val="8"/>
            <color indexed="81"/>
            <rFont val="Tahoma"/>
            <family val="2"/>
          </rPr>
          <t xml:space="preserve">Genus and /or species names for all organisms relevant to the study.
Separate the organisms with a semicolon or comma. For subspecies and variety use ssp. and var. For example  </t>
        </r>
        <r>
          <rPr>
            <sz val="8"/>
            <color indexed="81"/>
            <rFont val="Tahoma"/>
            <family val="2"/>
          </rPr>
          <t xml:space="preserve">
 Carex aquatilis var. aquatilis; Carex atlantica ssp. atlantica 
</t>
        </r>
        <r>
          <rPr>
            <sz val="8"/>
            <color indexed="10"/>
            <rFont val="Tahoma"/>
            <family val="2"/>
          </rPr>
          <t>Note:  It is good practice to check the taxonomic name with a source such as Integrated Taxonomic Information System (www.itis.gov)</t>
        </r>
      </text>
    </comment>
    <comment ref="B68" authorId="5" shapeId="0" xr:uid="{00000000-0006-0000-0000-00005E000000}">
      <text>
        <r>
          <rPr>
            <b/>
            <sz val="8"/>
            <color indexed="81"/>
            <rFont val="Tahoma"/>
            <family val="2"/>
          </rPr>
          <t xml:space="preserve">Genus and /or species names for all organisms relevant to the study.
Separate the organisms with a semicolon or comma. For subspecies and variety use ssp. and var. For example  </t>
        </r>
        <r>
          <rPr>
            <sz val="8"/>
            <color indexed="81"/>
            <rFont val="Tahoma"/>
            <family val="2"/>
          </rPr>
          <t xml:space="preserve">
 Carex aquatilis var. aquatilis; Carex atlantica ssp. atlantica 
</t>
        </r>
        <r>
          <rPr>
            <sz val="8"/>
            <color indexed="10"/>
            <rFont val="Tahoma"/>
            <family val="2"/>
          </rPr>
          <t>Note:  It is good practice to check the taxonomic name with a source such as Integrated Taxonomic Information System (www.itis.gov)</t>
        </r>
      </text>
    </comment>
    <comment ref="A71" authorId="3" shapeId="0" xr:uid="{00000000-0006-0000-0000-00005F000000}">
      <text>
        <r>
          <rPr>
            <b/>
            <sz val="8"/>
            <color indexed="81"/>
            <rFont val="Tahoma"/>
            <family val="2"/>
          </rPr>
          <t xml:space="preserve">Words that may be helpful in cross-referencing or cataloging the data. 
These should be in lower case format, unless the word is a proper name.  
</t>
        </r>
        <r>
          <rPr>
            <b/>
            <sz val="8"/>
            <color indexed="10"/>
            <rFont val="Tahoma"/>
            <family val="2"/>
          </rPr>
          <t xml:space="preserve">Please separated keywords by a semicolon or comma. 
</t>
        </r>
      </text>
    </comment>
    <comment ref="B71" authorId="3" shapeId="0" xr:uid="{00000000-0006-0000-0000-000060000000}">
      <text>
        <r>
          <rPr>
            <b/>
            <sz val="8"/>
            <color indexed="81"/>
            <rFont val="Tahoma"/>
            <family val="2"/>
          </rPr>
          <t xml:space="preserve">Words that may be helpful in cross-referencing or cataloging the data. 
These should be in lower case format, unless the word is a proper name.  
</t>
        </r>
        <r>
          <rPr>
            <b/>
            <sz val="8"/>
            <color indexed="10"/>
            <rFont val="Tahoma"/>
            <family val="2"/>
          </rPr>
          <t xml:space="preserve">Please separated keywords by a semicolon or comma. 
</t>
        </r>
      </text>
    </comment>
    <comment ref="A74" authorId="3" shapeId="0" xr:uid="{00000000-0006-0000-0000-000061000000}">
      <text>
        <r>
          <rPr>
            <b/>
            <sz val="8"/>
            <color indexed="81"/>
            <rFont val="Tahoma"/>
            <family val="2"/>
          </rPr>
          <t xml:space="preserve">The description of methods and research site should be fairly detailed and 
include any literature references (including author, title, journal and page 
numbers) pertaining to the methods. 
Include a Notes: section if appropriate.  Click on the box and paste or type 
the needed information. </t>
        </r>
      </text>
    </comment>
    <comment ref="A118" authorId="5" shapeId="0" xr:uid="{00000000-0006-0000-0000-000062000000}">
      <text>
        <r>
          <rPr>
            <b/>
            <sz val="8"/>
            <color indexed="81"/>
            <rFont val="Tahoma"/>
            <family val="2"/>
          </rPr>
          <t>Enter a title of the protocols used. 
Then enter below the URL for online protocol documents or enter the protocol  document in the textbox . 
Be as complete as possible  including the version used.  
Note any deviation from the protocols in the methods section.</t>
        </r>
      </text>
    </comment>
    <comment ref="A119" authorId="0" shapeId="0" xr:uid="{00000000-0006-0000-0000-000063000000}">
      <text>
        <r>
          <rPr>
            <b/>
            <sz val="8"/>
            <color indexed="81"/>
            <rFont val="Tahoma"/>
            <family val="2"/>
          </rPr>
          <t>List the URL to an online protocol document.</t>
        </r>
      </text>
    </comment>
    <comment ref="A121" authorId="0" shapeId="0" xr:uid="{00000000-0006-0000-0000-000064000000}">
      <text>
        <r>
          <rPr>
            <b/>
            <sz val="8"/>
            <color indexed="81"/>
            <rFont val="Tahoma"/>
            <family val="2"/>
          </rPr>
          <t>Describe the protocol used. Be as complete as possible.  Include any references and deviations used from references.</t>
        </r>
      </text>
    </comment>
    <comment ref="A128" authorId="3" shapeId="0" xr:uid="{00000000-0006-0000-0000-000065000000}">
      <text>
        <r>
          <rPr>
            <b/>
            <sz val="8"/>
            <color indexed="81"/>
            <rFont val="Tahoma"/>
            <family val="2"/>
          </rPr>
          <t>This section describes the variables in the data set. Please be as complete as necessary.</t>
        </r>
      </text>
    </comment>
    <comment ref="A129" authorId="3" shapeId="0" xr:uid="{00000000-0006-0000-0000-000066000000}">
      <text>
        <r>
          <rPr>
            <sz val="8"/>
            <color indexed="81"/>
            <rFont val="Tahoma"/>
            <family val="2"/>
          </rPr>
          <t xml:space="preserve">   Add rows as needed with a separated row for each variable name. The variables </t>
        </r>
        <r>
          <rPr>
            <sz val="8"/>
            <color indexed="10"/>
            <rFont val="Tahoma"/>
            <family val="2"/>
          </rPr>
          <t>Date</t>
        </r>
        <r>
          <rPr>
            <sz val="8"/>
            <color indexed="81"/>
            <rFont val="Tahoma"/>
            <family val="2"/>
          </rPr>
          <t xml:space="preserve"> and </t>
        </r>
        <r>
          <rPr>
            <sz val="8"/>
            <color indexed="10"/>
            <rFont val="Tahoma"/>
            <family val="2"/>
          </rPr>
          <t>Comments</t>
        </r>
        <r>
          <rPr>
            <sz val="8"/>
            <color indexed="81"/>
            <rFont val="Tahoma"/>
            <family val="2"/>
          </rPr>
          <t xml:space="preserve"> must be
 included in every data file.
    </t>
        </r>
        <r>
          <rPr>
            <sz val="8"/>
            <color indexed="10"/>
            <rFont val="Tahoma"/>
            <family val="2"/>
          </rPr>
          <t>Date</t>
        </r>
        <r>
          <rPr>
            <sz val="8"/>
            <color indexed="81"/>
            <rFont val="Tahoma"/>
            <family val="2"/>
          </rPr>
          <t xml:space="preserve"> should be in the format DD-MMM-YYYY (i.e. 01-Jun-1988). This format avoids confusion between Canadian 
and USA forms of dates.  
    Comments must be the last column in the file, and includes any additional information about individual data points. 
All Comments for a data point must be entered on a single line, which can be no longer than 250 characters. </t>
        </r>
        <r>
          <rPr>
            <sz val="8"/>
            <color indexed="81"/>
            <rFont val="Tahoma"/>
            <family val="2"/>
          </rPr>
          <t xml:space="preserve">
     The variable </t>
        </r>
        <r>
          <rPr>
            <sz val="8"/>
            <color indexed="10"/>
            <rFont val="Tahoma"/>
            <family val="2"/>
          </rPr>
          <t>Site</t>
        </r>
        <r>
          <rPr>
            <sz val="8"/>
            <color indexed="81"/>
            <rFont val="Tahoma"/>
            <family val="2"/>
          </rPr>
          <t xml:space="preserve">, a numerical 3-digit code, should be taken from the Site Name Code List (code for streams, code 
for lakes, code for terrestrial/landwater). If you have a new site that is not on the list, do not code it yourself; ask the 
data manager to add it to the master list. The variable D/D (for depth/distance) must be included in every aquatic file, 
as it corresponds to the depth in a lake or the distance along a river from which a sample was taken. For those working 
on the Kuparuk River, D/D needs to be relative to the 1984 phosphorous dripper, and Oksrukuyik Creek should be relative 
to the 0.0 K dripper site set in 1989. 
     Variables for time in Hours are to be in 24 hour format (not AM or PM) and based on Alaska Standard Time, not Alaska 
Daylight Savings Time. Entries should be 4 places, hours and minutes, without any punctuation (examples 0458 or 2133).
Individual PIs need to be responsible for making these time corrections.
   Missing data shall be designated by a Missing Data Value. The value used should be noted , i.e. BLANK, period, N/A. 
The value -9999 should be used with caution since it can be a real value in rare cases. </t>
        </r>
      </text>
    </comment>
    <comment ref="B129" authorId="3" shapeId="0" xr:uid="{00000000-0006-0000-0000-000067000000}">
      <text>
        <r>
          <rPr>
            <b/>
            <sz val="8"/>
            <color indexed="81"/>
            <rFont val="Tahoma"/>
            <family val="2"/>
          </rPr>
          <t>Variable Description is an explanation of what the Variable represents. Include details about the units, e.g. microgram of NH4-N per gram of oven dried soil.</t>
        </r>
      </text>
    </comment>
    <comment ref="C129" authorId="2" shapeId="0" xr:uid="{00000000-0006-0000-0000-000068000000}">
      <text>
        <r>
          <rPr>
            <b/>
            <sz val="8"/>
            <color indexed="81"/>
            <rFont val="Tahoma"/>
            <family val="2"/>
          </rPr>
          <t xml:space="preserve"> Please select from the drop-down list. 
For </t>
        </r>
        <r>
          <rPr>
            <b/>
            <sz val="8"/>
            <color indexed="10"/>
            <rFont val="Tahoma"/>
            <family val="2"/>
          </rPr>
          <t>Number</t>
        </r>
        <r>
          <rPr>
            <b/>
            <sz val="8"/>
            <color indexed="81"/>
            <rFont val="Tahoma"/>
            <family val="2"/>
          </rPr>
          <t xml:space="preserve"> type remember to enter a unit.
And for </t>
        </r>
        <r>
          <rPr>
            <b/>
            <sz val="8"/>
            <color indexed="10"/>
            <rFont val="Tahoma"/>
            <family val="2"/>
          </rPr>
          <t>DateTime</t>
        </r>
        <r>
          <rPr>
            <b/>
            <sz val="8"/>
            <color indexed="81"/>
            <rFont val="Tahoma"/>
            <family val="2"/>
          </rPr>
          <t xml:space="preserve"> enter a Datetime format.</t>
        </r>
        <r>
          <rPr>
            <sz val="8"/>
            <color indexed="81"/>
            <rFont val="Tahoma"/>
            <family val="2"/>
          </rPr>
          <t xml:space="preserve">
</t>
        </r>
      </text>
    </comment>
    <comment ref="D129" authorId="4" shapeId="0" xr:uid="{00000000-0006-0000-0000-000069000000}">
      <text>
        <r>
          <rPr>
            <b/>
            <sz val="8"/>
            <color indexed="81"/>
            <rFont val="Tahoma"/>
            <family val="2"/>
          </rPr>
          <t xml:space="preserve">Units field:  </t>
        </r>
        <r>
          <rPr>
            <b/>
            <sz val="8"/>
            <color indexed="10"/>
            <rFont val="Tahoma"/>
            <family val="2"/>
          </rPr>
          <t>If variable is a number use drop-down list to choose a unit.  If it's not listed then enter the unit using a format similar to other units.  For DataTime or Text leave blank.</t>
        </r>
      </text>
    </comment>
    <comment ref="E129" authorId="6" shapeId="0" xr:uid="{00000000-0006-0000-0000-00006A000000}">
      <text>
        <r>
          <rPr>
            <b/>
            <sz val="8"/>
            <color indexed="81"/>
            <rFont val="Tahoma"/>
            <family val="2"/>
          </rPr>
          <t xml:space="preserve">Date Time format field: </t>
        </r>
        <r>
          <rPr>
            <sz val="8"/>
            <color indexed="81"/>
            <rFont val="Tahoma"/>
            <family val="2"/>
          </rPr>
          <t>Enter the datetime format 
(ex. DDMMMYYYY for 12Mar2002) for variables that are dates and or time.</t>
        </r>
      </text>
    </comment>
    <comment ref="F129" authorId="7" shapeId="0" xr:uid="{00000000-0006-0000-0000-00006B000000}">
      <text>
        <r>
          <rPr>
            <b/>
            <sz val="8"/>
            <color indexed="81"/>
            <rFont val="Tahoma"/>
            <family val="2"/>
          </rPr>
          <t xml:space="preserve">Codes Definitions:
</t>
        </r>
        <r>
          <rPr>
            <sz val="8"/>
            <color indexed="81"/>
            <rFont val="Tahoma"/>
            <family val="2"/>
          </rPr>
          <t>For any variables that are coded, list the values/definitions 
for codes used. Format the list as a vertical-line separated list, e.g.:
MAT=Moist Acidic Tussock | MNT = Moist Non-acidic Tussock.</t>
        </r>
        <r>
          <rPr>
            <sz val="8"/>
            <color indexed="81"/>
            <rFont val="Tahoma"/>
            <family val="2"/>
          </rPr>
          <t xml:space="preserve">
</t>
        </r>
      </text>
    </comment>
    <comment ref="G129" authorId="0" shapeId="0" xr:uid="{00000000-0006-0000-0000-00006C000000}">
      <text>
        <r>
          <rPr>
            <b/>
            <sz val="8"/>
            <color indexed="81"/>
            <rFont val="Tahoma"/>
            <family val="2"/>
          </rPr>
          <t>Indicate the code used for missing values, e.g. blanks or -99999</t>
        </r>
      </text>
    </comment>
    <comment ref="A130" authorId="3" shapeId="0" xr:uid="{00000000-0006-0000-0000-00006D000000}">
      <text>
        <r>
          <rPr>
            <sz val="8"/>
            <color indexed="81"/>
            <rFont val="Tahoma"/>
            <family val="2"/>
          </rPr>
          <t xml:space="preserve">   Add rows as needed with a separated row for each variable name. The variables </t>
        </r>
        <r>
          <rPr>
            <sz val="8"/>
            <color indexed="10"/>
            <rFont val="Tahoma"/>
            <family val="2"/>
          </rPr>
          <t>Date</t>
        </r>
        <r>
          <rPr>
            <sz val="8"/>
            <color indexed="81"/>
            <rFont val="Tahoma"/>
            <family val="2"/>
          </rPr>
          <t xml:space="preserve"> and </t>
        </r>
        <r>
          <rPr>
            <sz val="8"/>
            <color indexed="10"/>
            <rFont val="Tahoma"/>
            <family val="2"/>
          </rPr>
          <t>Comments</t>
        </r>
        <r>
          <rPr>
            <sz val="8"/>
            <color indexed="81"/>
            <rFont val="Tahoma"/>
            <family val="2"/>
          </rPr>
          <t xml:space="preserve"> must be
 included in every data file.
    </t>
        </r>
        <r>
          <rPr>
            <sz val="8"/>
            <color indexed="10"/>
            <rFont val="Tahoma"/>
            <family val="2"/>
          </rPr>
          <t>Date</t>
        </r>
        <r>
          <rPr>
            <sz val="8"/>
            <color indexed="81"/>
            <rFont val="Tahoma"/>
            <family val="2"/>
          </rPr>
          <t xml:space="preserve"> should be in the format DD-MMM-YYYY (i.e. 01-Jun-1988). This format avoids confusion between Canadian 
and USA forms of dates.  
    Comments must be the last column in the file, and includes any additional information about individual data points. 
All Comments for a data point must be entered on a single line, which can be no longer than 250 characters. </t>
        </r>
        <r>
          <rPr>
            <sz val="8"/>
            <color indexed="81"/>
            <rFont val="Tahoma"/>
            <family val="2"/>
          </rPr>
          <t xml:space="preserve">
     The variable </t>
        </r>
        <r>
          <rPr>
            <sz val="8"/>
            <color indexed="10"/>
            <rFont val="Tahoma"/>
            <family val="2"/>
          </rPr>
          <t>Site</t>
        </r>
        <r>
          <rPr>
            <sz val="8"/>
            <color indexed="81"/>
            <rFont val="Tahoma"/>
            <family val="2"/>
          </rPr>
          <t xml:space="preserve">, a numerical 3-digit code, should be taken from the Site Name Code List (code for streams, code 
for lakes, code for terrestrial/landwater). If you have a new site that is not on the list, do not code it yourself; ask the 
data manager to add it to the master list. The variable D/D (for depth/distance) must be included in every aquatic file, 
as it corresponds to the depth in a lake or the distance along a river from which a sample was taken. For those working 
on the Kuparuk River, D/D needs to be relative to the 1984 phosphorous dripper, and Oksrukuyik Creek should be relative 
to the 0.0 K dripper site set in 1989. 
     Variables for time in Hours are to be in 24 hour format (not AM or PM) and based on Alaska Standard Time, not Alaska 
Daylight Savings Time. Entries should be 4 places, hours and minutes, without any punctuation (examples 0458 or 2133).
Individual PIs need to be responsible for making these time corrections.
   Missing data shall be designated by a Missing Data Value. The value used should be noted , i.e. BLANK, period, N/A. 
The value -9999 should be used with caution since it can be a real value in rare cases. </t>
        </r>
      </text>
    </comment>
    <comment ref="B130" authorId="3" shapeId="0" xr:uid="{00000000-0006-0000-0000-00006E000000}">
      <text>
        <r>
          <rPr>
            <b/>
            <sz val="8"/>
            <color indexed="81"/>
            <rFont val="Tahoma"/>
            <family val="2"/>
          </rPr>
          <t>Variable Description is an explanation of what the Variable represents. Include details about the units, e.g. microgram of NH4-N per gram of oven dried soil.</t>
        </r>
      </text>
    </comment>
    <comment ref="C130" authorId="2" shapeId="0" xr:uid="{00000000-0006-0000-0000-00006F000000}">
      <text>
        <r>
          <rPr>
            <b/>
            <sz val="8"/>
            <color indexed="81"/>
            <rFont val="Tahoma"/>
            <family val="2"/>
          </rPr>
          <t xml:space="preserve"> Please select from the drop-down list. 
For </t>
        </r>
        <r>
          <rPr>
            <b/>
            <sz val="8"/>
            <color indexed="10"/>
            <rFont val="Tahoma"/>
            <family val="2"/>
          </rPr>
          <t>Number</t>
        </r>
        <r>
          <rPr>
            <b/>
            <sz val="8"/>
            <color indexed="81"/>
            <rFont val="Tahoma"/>
            <family val="2"/>
          </rPr>
          <t xml:space="preserve"> type remember to enter a unit.
And for </t>
        </r>
        <r>
          <rPr>
            <b/>
            <sz val="8"/>
            <color indexed="10"/>
            <rFont val="Tahoma"/>
            <family val="2"/>
          </rPr>
          <t>DateTime</t>
        </r>
        <r>
          <rPr>
            <b/>
            <sz val="8"/>
            <color indexed="81"/>
            <rFont val="Tahoma"/>
            <family val="2"/>
          </rPr>
          <t xml:space="preserve"> enter a Datetime format.</t>
        </r>
        <r>
          <rPr>
            <sz val="8"/>
            <color indexed="81"/>
            <rFont val="Tahoma"/>
            <family val="2"/>
          </rPr>
          <t xml:space="preserve">
</t>
        </r>
      </text>
    </comment>
    <comment ref="D130" authorId="4" shapeId="0" xr:uid="{00000000-0006-0000-0000-000070000000}">
      <text>
        <r>
          <rPr>
            <b/>
            <sz val="8"/>
            <color indexed="81"/>
            <rFont val="Tahoma"/>
            <family val="2"/>
          </rPr>
          <t xml:space="preserve">Units field:  </t>
        </r>
        <r>
          <rPr>
            <b/>
            <sz val="8"/>
            <color indexed="10"/>
            <rFont val="Tahoma"/>
            <family val="2"/>
          </rPr>
          <t>If variable is a number use drop-down list to choose a unit.  If it's not listed then enter the unit using a format similar to other units.  For DataTime or Text leave blank.</t>
        </r>
      </text>
    </comment>
    <comment ref="E130" authorId="6" shapeId="0" xr:uid="{00000000-0006-0000-0000-000071000000}">
      <text>
        <r>
          <rPr>
            <b/>
            <sz val="8"/>
            <color indexed="81"/>
            <rFont val="Tahoma"/>
            <family val="2"/>
          </rPr>
          <t xml:space="preserve">Date Time format field: </t>
        </r>
        <r>
          <rPr>
            <sz val="8"/>
            <color indexed="81"/>
            <rFont val="Tahoma"/>
            <family val="2"/>
          </rPr>
          <t>Enter the datetime format 
(ex. DDMMMYYYY for 12Mar2002) for variables that are dates and or time.</t>
        </r>
      </text>
    </comment>
    <comment ref="F130" authorId="7" shapeId="0" xr:uid="{00000000-0006-0000-0000-000072000000}">
      <text>
        <r>
          <rPr>
            <b/>
            <sz val="8"/>
            <color indexed="81"/>
            <rFont val="Tahoma"/>
            <family val="2"/>
          </rPr>
          <t xml:space="preserve">Codes Definitions:
</t>
        </r>
        <r>
          <rPr>
            <sz val="8"/>
            <color indexed="81"/>
            <rFont val="Tahoma"/>
            <family val="2"/>
          </rPr>
          <t>For any variables that are coded, list the values/definitions 
for codes used. Format the list as a vertical-line separated list, e.g.:
MAT=Moist Acidic Tussock | MNT = Moist Non-acidic Tussock.</t>
        </r>
        <r>
          <rPr>
            <sz val="8"/>
            <color indexed="81"/>
            <rFont val="Tahoma"/>
            <family val="2"/>
          </rPr>
          <t xml:space="preserve">
</t>
        </r>
      </text>
    </comment>
    <comment ref="G130" authorId="0" shapeId="0" xr:uid="{00000000-0006-0000-0000-000073000000}">
      <text>
        <r>
          <rPr>
            <b/>
            <sz val="8"/>
            <color indexed="81"/>
            <rFont val="Tahoma"/>
            <family val="2"/>
          </rPr>
          <t>Indicate the code used for missing values, e.g. blanks or -99999</t>
        </r>
      </text>
    </comment>
  </commentList>
</comments>
</file>

<file path=xl/sharedStrings.xml><?xml version="1.0" encoding="utf-8"?>
<sst xmlns="http://schemas.openxmlformats.org/spreadsheetml/2006/main" count="7346" uniqueCount="1513">
  <si>
    <t>ARCTIC LTER DATABASE</t>
  </si>
  <si>
    <t>Metacat Package ID</t>
  </si>
  <si>
    <t>Year Released to Public</t>
  </si>
  <si>
    <t>Distribution URL for file</t>
  </si>
  <si>
    <t>DATASET TITLE:</t>
  </si>
  <si>
    <t>Above ground plant and belowground stem biomass in moist acidic tussock tundra experimental sites, 2012, Arctic LTER, Toolik Lake, Alaska.</t>
  </si>
  <si>
    <t>ABSTRACT:</t>
  </si>
  <si>
    <t xml:space="preserve">DATASET ID: </t>
  </si>
  <si>
    <t>2012lgttbm</t>
  </si>
  <si>
    <r>
      <t>INVESTIGATOR INFORMATION :</t>
    </r>
    <r>
      <rPr>
        <b/>
        <sz val="9"/>
        <color indexed="48"/>
        <rFont val="Arial"/>
        <family val="2"/>
      </rPr>
      <t xml:space="preserve"> </t>
    </r>
  </si>
  <si>
    <t>Investigator 1</t>
  </si>
  <si>
    <t>Investigator 2</t>
  </si>
  <si>
    <t>Investigator 3</t>
  </si>
  <si>
    <t>Investigator 4</t>
  </si>
  <si>
    <t>Investigator 5</t>
  </si>
  <si>
    <t>Investigator 6</t>
  </si>
  <si>
    <t>Investigator 7</t>
  </si>
  <si>
    <t>Investigator 8</t>
  </si>
  <si>
    <t>Role</t>
  </si>
  <si>
    <t>Owner</t>
  </si>
  <si>
    <t>Associated Researcher</t>
  </si>
  <si>
    <t>Email</t>
  </si>
  <si>
    <t>lgough@towson.edu</t>
  </si>
  <si>
    <t xml:space="preserve">First Name  </t>
  </si>
  <si>
    <t>Laura</t>
  </si>
  <si>
    <t>Gus</t>
  </si>
  <si>
    <t xml:space="preserve">Last Name  </t>
  </si>
  <si>
    <t>Gough</t>
  </si>
  <si>
    <t>Shaver</t>
  </si>
  <si>
    <t>Organization</t>
  </si>
  <si>
    <t>Department of Biological Sciences</t>
  </si>
  <si>
    <t>MarineBiological Lab</t>
  </si>
  <si>
    <t>Address line 2</t>
  </si>
  <si>
    <t>7 M B L St</t>
  </si>
  <si>
    <t>Address line 3</t>
  </si>
  <si>
    <t>Towson University</t>
  </si>
  <si>
    <t xml:space="preserve"> City  </t>
  </si>
  <si>
    <t>Towson</t>
  </si>
  <si>
    <t>Woods Hole</t>
  </si>
  <si>
    <t xml:space="preserve">State  </t>
  </si>
  <si>
    <t>Maryland</t>
  </si>
  <si>
    <t>MA</t>
  </si>
  <si>
    <t xml:space="preserve">Zip Code  </t>
  </si>
  <si>
    <t>21252</t>
  </si>
  <si>
    <t>02543</t>
  </si>
  <si>
    <t>Country</t>
  </si>
  <si>
    <t>USA</t>
  </si>
  <si>
    <t xml:space="preserve">DATA FILE INFORMATION: </t>
  </si>
  <si>
    <t>Data File URL</t>
  </si>
  <si>
    <t>http://arc-lter.ecosystems.mbl.edu/sites/default/files/data/terrestrial/2001lgshttbm.csv</t>
  </si>
  <si>
    <t>Data File Name</t>
  </si>
  <si>
    <t>2012lgbiomass_checked_2017.csv</t>
  </si>
  <si>
    <t>Beginning Date</t>
  </si>
  <si>
    <t>End Date</t>
  </si>
  <si>
    <t>Number of Data Records</t>
  </si>
  <si>
    <t>Other Files to Reference</t>
  </si>
  <si>
    <t>Availability Status</t>
  </si>
  <si>
    <t>Quality Control Information</t>
  </si>
  <si>
    <t>Maintenance Description</t>
  </si>
  <si>
    <t>Log of Changes:</t>
  </si>
  <si>
    <t>Log of changes:</t>
  </si>
  <si>
    <t>Note you can add more sites.</t>
  </si>
  <si>
    <t xml:space="preserve">RESEARCH LOCATION: </t>
  </si>
  <si>
    <t>Location Name</t>
  </si>
  <si>
    <t>LTER Moist Acidic Tussock Tundra</t>
  </si>
  <si>
    <t>Select Site or enter New One</t>
  </si>
  <si>
    <t xml:space="preserve">Geographic Description </t>
  </si>
  <si>
    <t>2006 MAT Plots</t>
  </si>
  <si>
    <t>Enter Description</t>
  </si>
  <si>
    <t>Location Bounding Box</t>
  </si>
  <si>
    <t xml:space="preserve">West Bounding Coordinate  </t>
  </si>
  <si>
    <t xml:space="preserve">East Bounding Coordinate </t>
  </si>
  <si>
    <t xml:space="preserve">North Bounding Coordinate  </t>
  </si>
  <si>
    <t xml:space="preserve">South Bounding Coordinate  </t>
  </si>
  <si>
    <t>OR if single point location</t>
  </si>
  <si>
    <t>Latitude</t>
  </si>
  <si>
    <t>In Decimal Degrees</t>
  </si>
  <si>
    <t>Longitude</t>
  </si>
  <si>
    <t>Elevation</t>
  </si>
  <si>
    <t>In Meters</t>
  </si>
  <si>
    <t>Link to Google Map</t>
  </si>
  <si>
    <t>TAXONOMIC COVERAGE:</t>
  </si>
  <si>
    <t>Organisms studied</t>
  </si>
  <si>
    <t>Andromeda polifolia; Arctagrostis latifolia; Arctostaphylos alpina; Betula nana; Carex bigelowii; Carex membranacea; Carex vaginata; Cassiope tetragona; Dryas integrifolia; Equisetum spp.; Eriophorum angustifolium ssp. triste; Eriophorum vaginatum; Ledum palustre; Polygonum bistorta; Rubus chamaemorus; Salix pulchra; Salix reticulata; Sphagnum spp.; Tomenthypnum nitens; Vaccinium uliginosum; Vaccinium vitis-idaea</t>
  </si>
  <si>
    <t xml:space="preserve">Example:  Eriophorum; Betula nana; Carex aquatilis var. aquatilis; Carex atlantica ssp. atlantica </t>
  </si>
  <si>
    <t>KEYWORD INFORMATION</t>
  </si>
  <si>
    <t>LTER Keywords</t>
  </si>
  <si>
    <t>Arctic LTER Vocabulary</t>
  </si>
  <si>
    <t>Core Areas</t>
  </si>
  <si>
    <t xml:space="preserve">KEYWORDS: </t>
  </si>
  <si>
    <t>biomass, productivity, nitrogen, phosphorus, tundra, primary production, disturbance, inorganic nutrients, organic matter, populations</t>
  </si>
  <si>
    <t>Alaska</t>
  </si>
  <si>
    <t>primary production, disturbance, inorganic nutrients, organic matter, populations</t>
  </si>
  <si>
    <t xml:space="preserve">METHODS: </t>
  </si>
  <si>
    <t>Sampling and/or Lab Protocols</t>
  </si>
  <si>
    <t>Protocol Title</t>
  </si>
  <si>
    <t>URL of online Protocol</t>
  </si>
  <si>
    <t>OR</t>
  </si>
  <si>
    <t>Protocol Document</t>
  </si>
  <si>
    <t xml:space="preserve">VARIABLE DESCRIPTIONS: </t>
  </si>
  <si>
    <t>Do Not Modify. This is the lists for the drop-downs.</t>
  </si>
  <si>
    <t>Variable Name</t>
  </si>
  <si>
    <t>Variable Description</t>
  </si>
  <si>
    <t>Data Type</t>
  </si>
  <si>
    <t>Units</t>
  </si>
  <si>
    <t>DateTime Format</t>
  </si>
  <si>
    <t>Code Information</t>
  </si>
  <si>
    <t>Missing Value Code</t>
  </si>
  <si>
    <t>MeasurementScale</t>
  </si>
  <si>
    <t>Number Type</t>
  </si>
  <si>
    <t>Unit Name</t>
  </si>
  <si>
    <t xml:space="preserve">Date </t>
  </si>
  <si>
    <t>Date of beginning of harvest. Harvests usually last 4-5 days.</t>
  </si>
  <si>
    <t>datetime</t>
  </si>
  <si>
    <t>dd-mmm-yyyy</t>
  </si>
  <si>
    <t xml:space="preserve"> </t>
  </si>
  <si>
    <t>Site</t>
  </si>
  <si>
    <t>Site of harvest</t>
  </si>
  <si>
    <t>text</t>
  </si>
  <si>
    <t xml:space="preserve">Owner </t>
  </si>
  <si>
    <t>ampere</t>
  </si>
  <si>
    <t>Treatment</t>
  </si>
  <si>
    <t>Plot treatment</t>
  </si>
  <si>
    <t xml:space="preserve">Associated Researcher </t>
  </si>
  <si>
    <t>interval</t>
  </si>
  <si>
    <t>number</t>
  </si>
  <si>
    <t>amperePerMeter</t>
  </si>
  <si>
    <t>Growth Form</t>
  </si>
  <si>
    <t>Growth form of Species</t>
  </si>
  <si>
    <t xml:space="preserve">Data Manager </t>
  </si>
  <si>
    <t>nominal</t>
  </si>
  <si>
    <t>amperePerMeterSquared</t>
  </si>
  <si>
    <t>Species</t>
  </si>
  <si>
    <t>The species sampled or a lumped group. See ?Notes on lumped species? Under this variable for notes on species grouped together. ?Seedlings? indicates the number and identity of seedlings found in that quadrat. ?Comments? includes additional information about that quadrat.</t>
  </si>
  <si>
    <t xml:space="preserve">Field Crew </t>
  </si>
  <si>
    <t>ordinal</t>
  </si>
  <si>
    <t>angstrom</t>
  </si>
  <si>
    <t>Tissue</t>
  </si>
  <si>
    <t>The tissue type</t>
  </si>
  <si>
    <t xml:space="preserve">Lab Crew </t>
  </si>
  <si>
    <t>ratio</t>
  </si>
  <si>
    <t>atmosphere</t>
  </si>
  <si>
    <t>Biomass Category</t>
  </si>
  <si>
    <t>growth category of the biomass sample</t>
  </si>
  <si>
    <t>bar</t>
  </si>
  <si>
    <t>B1Q1</t>
  </si>
  <si>
    <t>oven dried weight of sample collected in a quadrat. (Code of variable name: B for block and the number following the B is the block number. The Q stands for quadrat with the number following the Q being the quadrat number)</t>
  </si>
  <si>
    <t>gramPerFourHundredthMeterSquared</t>
  </si>
  <si>
    <t>NA=Missing or Not Measured</t>
  </si>
  <si>
    <t>becquerel</t>
  </si>
  <si>
    <t>B1Q2</t>
  </si>
  <si>
    <t>oven dried weight of sample collected in a quadrat</t>
  </si>
  <si>
    <t>becquerelPerGram</t>
  </si>
  <si>
    <t>B1Q3</t>
  </si>
  <si>
    <t>becquerelPerMilligram</t>
  </si>
  <si>
    <t>B1Q4</t>
  </si>
  <si>
    <t>becquerelPerMilliliter</t>
  </si>
  <si>
    <t>B1Q5</t>
  </si>
  <si>
    <t>calorie</t>
  </si>
  <si>
    <t>B2Q1</t>
  </si>
  <si>
    <t>candela</t>
  </si>
  <si>
    <t>B2Q2</t>
  </si>
  <si>
    <t>candelaPerMeterSquared</t>
  </si>
  <si>
    <t>B2Q3</t>
  </si>
  <si>
    <t>celsius</t>
  </si>
  <si>
    <t>B2Q4</t>
  </si>
  <si>
    <t>centigram</t>
  </si>
  <si>
    <t>B2Q5</t>
  </si>
  <si>
    <t>centimeter</t>
  </si>
  <si>
    <t>B3Q1</t>
  </si>
  <si>
    <t>centimeterCubedPerCentimeterCubed</t>
  </si>
  <si>
    <t>B3Q2</t>
  </si>
  <si>
    <t>centimeterPerSecond</t>
  </si>
  <si>
    <t>B3Q3</t>
  </si>
  <si>
    <t>centimeterPerYear</t>
  </si>
  <si>
    <t>B3Q4</t>
  </si>
  <si>
    <t>centimeterSquared</t>
  </si>
  <si>
    <t>B3Q5</t>
  </si>
  <si>
    <t>centimeterSquaredPerFourHundredthMeterSquared</t>
  </si>
  <si>
    <t>Average g/quad</t>
  </si>
  <si>
    <t>centimeterSquaredPerGram</t>
  </si>
  <si>
    <t>Std. Err.</t>
  </si>
  <si>
    <t>Average of all quadrats for that species and tissue type.</t>
  </si>
  <si>
    <t>centimolePerKilogram</t>
  </si>
  <si>
    <t>Count</t>
  </si>
  <si>
    <t>Standard Error of the mean for species and tissue type.</t>
  </si>
  <si>
    <t>centisecond</t>
  </si>
  <si>
    <t>Average g/m2</t>
  </si>
  <si>
    <t>Number of quadrats</t>
  </si>
  <si>
    <t>coulomb</t>
  </si>
  <si>
    <t>Std. Err. g/m2</t>
  </si>
  <si>
    <t>Average of all quadrats expressed as</t>
  </si>
  <si>
    <t>gramPerMeterSquared</t>
  </si>
  <si>
    <t>decibar</t>
  </si>
  <si>
    <t>decigram</t>
  </si>
  <si>
    <t>decimeter</t>
  </si>
  <si>
    <t>decisecond</t>
  </si>
  <si>
    <t>degree</t>
  </si>
  <si>
    <t>dimensionless</t>
  </si>
  <si>
    <t>disintegrationPerMinute</t>
  </si>
  <si>
    <t>gram</t>
  </si>
  <si>
    <t>gramPerCentimeter</t>
  </si>
  <si>
    <t>gramPerCentimeterCubed</t>
  </si>
  <si>
    <t>gramPerCentimeterSquaredPerSecond</t>
  </si>
  <si>
    <t>gramPerGram</t>
  </si>
  <si>
    <t>gramPerHectarePerDay</t>
  </si>
  <si>
    <t>gramPerKilogram</t>
  </si>
  <si>
    <t>gramPerLiter</t>
  </si>
  <si>
    <t>gramPerLiterPerDay</t>
  </si>
  <si>
    <t>gramPerMeterCubed</t>
  </si>
  <si>
    <t>gramPerMeterSquaredPerDay</t>
  </si>
  <si>
    <t>gramPerMeterSquaredPerYear</t>
  </si>
  <si>
    <t>gramPerMilliliter</t>
  </si>
  <si>
    <t>gramPerNumber</t>
  </si>
  <si>
    <t>gramPerYear</t>
  </si>
  <si>
    <t>hectare</t>
  </si>
  <si>
    <t>hectogram</t>
  </si>
  <si>
    <t>hectometer</t>
  </si>
  <si>
    <t>hectoPascal</t>
  </si>
  <si>
    <t>hectosecond</t>
  </si>
  <si>
    <t>henry</t>
  </si>
  <si>
    <t>hertz</t>
  </si>
  <si>
    <t>hour</t>
  </si>
  <si>
    <t>joule</t>
  </si>
  <si>
    <t>joulePerCentimeterSquaredPerDay</t>
  </si>
  <si>
    <t>joulePerCentimeterSquaredPerHour</t>
  </si>
  <si>
    <t>joulePerMeterCubed</t>
  </si>
  <si>
    <t>kelvin</t>
  </si>
  <si>
    <t>kilogram</t>
  </si>
  <si>
    <t>kilogramPerHectare</t>
  </si>
  <si>
    <t>kilogramPerHectarePerYear</t>
  </si>
  <si>
    <t>kilogramPerMeterCubed</t>
  </si>
  <si>
    <t>kilogramPerMeterSquared</t>
  </si>
  <si>
    <t>kilogramPerMeterSquaredPerSecond</t>
  </si>
  <si>
    <t>kilogramPerMeterSquaredPerYear</t>
  </si>
  <si>
    <t>kilogramPerSecond</t>
  </si>
  <si>
    <t>kilogramPerYear</t>
  </si>
  <si>
    <t>kilohertz</t>
  </si>
  <si>
    <t>kiloliter</t>
  </si>
  <si>
    <t>kilometer</t>
  </si>
  <si>
    <t>kilometerPerHour</t>
  </si>
  <si>
    <t>kilometerSquared</t>
  </si>
  <si>
    <t>kilopascal</t>
  </si>
  <si>
    <t>kilosecond</t>
  </si>
  <si>
    <t>kilovolt</t>
  </si>
  <si>
    <t>kilowatt</t>
  </si>
  <si>
    <t>kilowattPerMeterSquared</t>
  </si>
  <si>
    <t>liter</t>
  </si>
  <si>
    <t>literPerHectare</t>
  </si>
  <si>
    <t>literPerMeterSquared</t>
  </si>
  <si>
    <t>literPerSecond</t>
  </si>
  <si>
    <t>lumen</t>
  </si>
  <si>
    <t>lux</t>
  </si>
  <si>
    <t>megagram</t>
  </si>
  <si>
    <t>megahertz</t>
  </si>
  <si>
    <t>megaJoulePerMeterSquaredPerDay</t>
  </si>
  <si>
    <t>megameter</t>
  </si>
  <si>
    <t>megapascal</t>
  </si>
  <si>
    <t>megasecond</t>
  </si>
  <si>
    <t>megavolt</t>
  </si>
  <si>
    <t>megawatt</t>
  </si>
  <si>
    <t>meter</t>
  </si>
  <si>
    <t>meterCubed</t>
  </si>
  <si>
    <t>meterCubedPerDay</t>
  </si>
  <si>
    <t>meterCubedPerKilogram</t>
  </si>
  <si>
    <t>meterCubedPerMeterCubed</t>
  </si>
  <si>
    <t>meterCubedPerSecond</t>
  </si>
  <si>
    <t>meterCubedPerYear</t>
  </si>
  <si>
    <t>meterPerDay</t>
  </si>
  <si>
    <t>meterPerGram</t>
  </si>
  <si>
    <t>meterPerSecond</t>
  </si>
  <si>
    <t>meterPerSecondSquared</t>
  </si>
  <si>
    <t>meterSquared</t>
  </si>
  <si>
    <t>meterSquaredPerDay</t>
  </si>
  <si>
    <t>meterSquaredPerKilogram</t>
  </si>
  <si>
    <t>meterSquaredPerMeterSquared</t>
  </si>
  <si>
    <t>meterSquaredPerNumber</t>
  </si>
  <si>
    <t>meterSquaredPerSecond</t>
  </si>
  <si>
    <t>microatmosphere</t>
  </si>
  <si>
    <t>microCuriePerMicromole</t>
  </si>
  <si>
    <t>microEinsteinPerMeterSquared</t>
  </si>
  <si>
    <t>microEinsteinPerMeterSquaredPerSecond</t>
  </si>
  <si>
    <t>microequivalentPerLiter</t>
  </si>
  <si>
    <t>microgram</t>
  </si>
  <si>
    <t>microgramPerCentimeterCubed</t>
  </si>
  <si>
    <t>microgramPerCentimeterSquared</t>
  </si>
  <si>
    <t>microgramPerGram</t>
  </si>
  <si>
    <t>microgramPerLiter</t>
  </si>
  <si>
    <t>microgramPerLiterPerDay</t>
  </si>
  <si>
    <t>microgramPerLiterPerHour</t>
  </si>
  <si>
    <t>microgramPerMilliliter</t>
  </si>
  <si>
    <t>microliter</t>
  </si>
  <si>
    <t>micrometer</t>
  </si>
  <si>
    <t>micrometerCubedPerGram</t>
  </si>
  <si>
    <t>micromole</t>
  </si>
  <si>
    <t>micromolePerCentimeterCubed</t>
  </si>
  <si>
    <t>micromolePerGram</t>
  </si>
  <si>
    <t>micromolePerKilogram</t>
  </si>
  <si>
    <t>micromolePerLiter</t>
  </si>
  <si>
    <t>micromolePerMeterSquaredPerMinute</t>
  </si>
  <si>
    <t>micromolePerMeterSquaredPerSecond</t>
  </si>
  <si>
    <t>micromolePerMole</t>
  </si>
  <si>
    <t>micron</t>
  </si>
  <si>
    <t>microsecond</t>
  </si>
  <si>
    <t>microsiemenPerCentimeter</t>
  </si>
  <si>
    <t>millibar</t>
  </si>
  <si>
    <t>milliequivalentPerLiter</t>
  </si>
  <si>
    <t>milligram</t>
  </si>
  <si>
    <t>milligramPerKilogram</t>
  </si>
  <si>
    <t>milligramPerLiter</t>
  </si>
  <si>
    <t>milligramPerMeterCubed</t>
  </si>
  <si>
    <t>milligramPerMeterSquared</t>
  </si>
  <si>
    <t>milligramPerMeterSquaredPerDay</t>
  </si>
  <si>
    <t>milligramPerMeterSquarePerHour</t>
  </si>
  <si>
    <t>milligramPerMilliliter</t>
  </si>
  <si>
    <t>milligramPerMillimeter</t>
  </si>
  <si>
    <t>milligramPerUnit</t>
  </si>
  <si>
    <t>millihertz</t>
  </si>
  <si>
    <t>milliliter</t>
  </si>
  <si>
    <t>milliliterPerLiter</t>
  </si>
  <si>
    <t>millimeter</t>
  </si>
  <si>
    <t>millimeterPerNumber</t>
  </si>
  <si>
    <t>millimeterPerSecond</t>
  </si>
  <si>
    <t>millimeterPerUnit</t>
  </si>
  <si>
    <t>millimeterSquared</t>
  </si>
  <si>
    <t>millimolePerGram</t>
  </si>
  <si>
    <t>millimolePerLiter</t>
  </si>
  <si>
    <t>millimolePerMeterCubed</t>
  </si>
  <si>
    <t>millimolePerMeterSquaredPerDay</t>
  </si>
  <si>
    <t>millimolePerMeterSquaredPerHour</t>
  </si>
  <si>
    <t>millimolePerMeterSquaredPerSecond</t>
  </si>
  <si>
    <t>millimolePerMole</t>
  </si>
  <si>
    <t>millisecond</t>
  </si>
  <si>
    <t>millisiemenPerCentimeter</t>
  </si>
  <si>
    <t>millivolt</t>
  </si>
  <si>
    <t>milliwatt</t>
  </si>
  <si>
    <t>minute</t>
  </si>
  <si>
    <t>molality</t>
  </si>
  <si>
    <t>molarity</t>
  </si>
  <si>
    <t>mole</t>
  </si>
  <si>
    <t>molePerGram</t>
  </si>
  <si>
    <t>molePerKilogram</t>
  </si>
  <si>
    <t>molePerKilogramPerSecond</t>
  </si>
  <si>
    <t>molePerMeterCubed</t>
  </si>
  <si>
    <t>molePerMeterSquaredPerDay</t>
  </si>
  <si>
    <t>nanogram</t>
  </si>
  <si>
    <t>nanometer</t>
  </si>
  <si>
    <t>nanomolePerGramPerSecond</t>
  </si>
  <si>
    <t>nanosecond</t>
  </si>
  <si>
    <t>newton</t>
  </si>
  <si>
    <t>nominalDay</t>
  </si>
  <si>
    <t>nominalHour</t>
  </si>
  <si>
    <t>nominalLeapYear</t>
  </si>
  <si>
    <t>nominalMinute</t>
  </si>
  <si>
    <t>nominalWeek</t>
  </si>
  <si>
    <t>nominalYear</t>
  </si>
  <si>
    <t>numberPerCentimeterSquaredPerHour</t>
  </si>
  <si>
    <t>numberPerGram</t>
  </si>
  <si>
    <t>numberPerKilometerSquared</t>
  </si>
  <si>
    <t>numberPerLiter</t>
  </si>
  <si>
    <t>numberPerMeterCubed</t>
  </si>
  <si>
    <t>numberPerMeterSquared</t>
  </si>
  <si>
    <t>numberPerMilliliter</t>
  </si>
  <si>
    <t>ohm</t>
  </si>
  <si>
    <t>ohmMeter</t>
  </si>
  <si>
    <t>partPerMillion</t>
  </si>
  <si>
    <t>partPerThousand</t>
  </si>
  <si>
    <t>pascal</t>
  </si>
  <si>
    <t>percent</t>
  </si>
  <si>
    <t>picomolePerLiter</t>
  </si>
  <si>
    <t>picomolePerLiterPerHour</t>
  </si>
  <si>
    <t>PSU</t>
  </si>
  <si>
    <t>radian</t>
  </si>
  <si>
    <t>second</t>
  </si>
  <si>
    <t>serialDateNumberYear0000</t>
  </si>
  <si>
    <t>siemenPerMeter</t>
  </si>
  <si>
    <t>siemens</t>
  </si>
  <si>
    <t>sievert</t>
  </si>
  <si>
    <t>tesla</t>
  </si>
  <si>
    <t>tonne</t>
  </si>
  <si>
    <t>tonnePerHectare</t>
  </si>
  <si>
    <t>tonnePerYear</t>
  </si>
  <si>
    <t>volt</t>
  </si>
  <si>
    <t>watt</t>
  </si>
  <si>
    <t>wattPerMeterSquared</t>
  </si>
  <si>
    <t>waveNumber</t>
  </si>
  <si>
    <t>weber</t>
  </si>
  <si>
    <t>LTER 2006 Low Nutrient Moist Acidic Tussock Tundra</t>
  </si>
  <si>
    <t>CT</t>
  </si>
  <si>
    <t>Graminoids</t>
  </si>
  <si>
    <t>Eriophorum vaginatum</t>
  </si>
  <si>
    <t>blade</t>
  </si>
  <si>
    <t>sheath</t>
  </si>
  <si>
    <t>inflor/culm</t>
  </si>
  <si>
    <t>rhizome</t>
  </si>
  <si>
    <t>standing dead</t>
  </si>
  <si>
    <t>new buds</t>
  </si>
  <si>
    <t>Carex bigelowii</t>
  </si>
  <si>
    <t>Calamagrostis lapponica</t>
  </si>
  <si>
    <t>Luzula sp.</t>
  </si>
  <si>
    <t>Deciduous</t>
  </si>
  <si>
    <t>Betula nana</t>
  </si>
  <si>
    <t>new leaves</t>
  </si>
  <si>
    <t>new stems</t>
  </si>
  <si>
    <t>old stems</t>
  </si>
  <si>
    <t>inflor.</t>
  </si>
  <si>
    <t>Below stems</t>
  </si>
  <si>
    <t>Salix pulchra</t>
  </si>
  <si>
    <t>Vaccinium uliginosum</t>
  </si>
  <si>
    <t>Arctostaphylos alpina</t>
  </si>
  <si>
    <t>Salix phlebophylla</t>
  </si>
  <si>
    <t>Evergreen</t>
  </si>
  <si>
    <t>Ledum palustre</t>
  </si>
  <si>
    <t>old leaves</t>
  </si>
  <si>
    <t>Vaccinium vitis-idaea</t>
  </si>
  <si>
    <t>Cassiope tetragona</t>
  </si>
  <si>
    <t>Andromeda polifolia</t>
  </si>
  <si>
    <t>Empetrum nigrum</t>
  </si>
  <si>
    <t>Forbs</t>
  </si>
  <si>
    <t>Rubus chamaemorus</t>
  </si>
  <si>
    <t>new above</t>
  </si>
  <si>
    <t>Below</t>
  </si>
  <si>
    <t>Polygonum bistorta</t>
  </si>
  <si>
    <t>Petasites frigidus</t>
  </si>
  <si>
    <t>Pedicularis sp.</t>
  </si>
  <si>
    <t>Mosses</t>
  </si>
  <si>
    <t>Sphagnum</t>
  </si>
  <si>
    <t>green</t>
  </si>
  <si>
    <t xml:space="preserve">Other Mosses </t>
  </si>
  <si>
    <t>Lichens</t>
  </si>
  <si>
    <t>Mixed Lichen</t>
  </si>
  <si>
    <t>live</t>
  </si>
  <si>
    <t>F2</t>
  </si>
  <si>
    <t>Unknown graminoid</t>
  </si>
  <si>
    <t>F5</t>
  </si>
  <si>
    <t>Arctograstis latifolia</t>
  </si>
  <si>
    <t>NA</t>
  </si>
  <si>
    <t>F10</t>
  </si>
  <si>
    <t>LTER_Site_number</t>
  </si>
  <si>
    <t>Description</t>
  </si>
  <si>
    <t>Latitude_decimal_degrees</t>
  </si>
  <si>
    <t>Longitude_decimal_degrees</t>
  </si>
  <si>
    <t>Elevation_m_asl</t>
  </si>
  <si>
    <t>Environment</t>
  </si>
  <si>
    <t>Alternate_Name_1</t>
  </si>
  <si>
    <t>Alternate_Name_2</t>
  </si>
  <si>
    <t>Project_PI</t>
  </si>
  <si>
    <t>OLD_LTER_number_DO_NOT_USE</t>
  </si>
  <si>
    <t>Survey/series</t>
  </si>
  <si>
    <t>Google Map Link</t>
  </si>
  <si>
    <t xml:space="preserve">2304 Tower </t>
  </si>
  <si>
    <t/>
  </si>
  <si>
    <t>Terrestrial</t>
  </si>
  <si>
    <t>Landscapes_Shaver</t>
  </si>
  <si>
    <t xml:space="preserve">2308 Tower </t>
  </si>
  <si>
    <t xml:space="preserve">2309 Tower </t>
  </si>
  <si>
    <t>NSF_Burn_Shaver</t>
  </si>
  <si>
    <t>Anaktuvuk Burn</t>
  </si>
  <si>
    <t>Ahaliorak Lake</t>
  </si>
  <si>
    <t>Lakes sampled by LTREB on 1 July 2010 - Kling, Crump, Nannen.</t>
  </si>
  <si>
    <t>Lake</t>
  </si>
  <si>
    <t>LTREB_Kling_Crump</t>
  </si>
  <si>
    <t>Far Lakes Survey</t>
  </si>
  <si>
    <t>Airstrip Lakes B1</t>
  </si>
  <si>
    <t>Airstrip Lakes B2</t>
  </si>
  <si>
    <t>Airstrip Lakes B3</t>
  </si>
  <si>
    <t>Alexa Creek</t>
  </si>
  <si>
    <t>At the Haul Road</t>
  </si>
  <si>
    <t>Stream</t>
  </si>
  <si>
    <t>LTER</t>
  </si>
  <si>
    <t>Lake and stream survey 1988</t>
  </si>
  <si>
    <t>Anaktuvik_1 lake</t>
  </si>
  <si>
    <t>Anaktuvik_2 lake</t>
  </si>
  <si>
    <t>Anaktuvik_3 lake</t>
  </si>
  <si>
    <t>AR101</t>
  </si>
  <si>
    <t>CALM Grid (Thaw depth)</t>
  </si>
  <si>
    <t>AR102</t>
  </si>
  <si>
    <t>AR103</t>
  </si>
  <si>
    <t>Vegetation and Soils Transect</t>
  </si>
  <si>
    <t>AR104</t>
  </si>
  <si>
    <t>AR105</t>
  </si>
  <si>
    <t>AR106</t>
  </si>
  <si>
    <t>AR107</t>
  </si>
  <si>
    <t>AR108</t>
  </si>
  <si>
    <t>AR109</t>
  </si>
  <si>
    <t>AR110</t>
  </si>
  <si>
    <t>AR111</t>
  </si>
  <si>
    <t>AR112</t>
  </si>
  <si>
    <t>AR113</t>
  </si>
  <si>
    <t>ARFB</t>
  </si>
  <si>
    <t>ARFC</t>
  </si>
  <si>
    <t>Atigun River</t>
  </si>
  <si>
    <t>Confluence with the West Fork of the Atigun</t>
  </si>
  <si>
    <t>Atigun River West Fork</t>
  </si>
  <si>
    <t>Confluence with the main fork of the Atigun</t>
  </si>
  <si>
    <t>Atigun tributary station 01</t>
  </si>
  <si>
    <t>Atigun trib sta 1</t>
  </si>
  <si>
    <t>Atigun tributary station 02</t>
  </si>
  <si>
    <t>Atigun trib sta 2</t>
  </si>
  <si>
    <t>Atigun tributary station 03</t>
  </si>
  <si>
    <t>Atigun trib sta 3</t>
  </si>
  <si>
    <t>Bern Lake</t>
  </si>
  <si>
    <t>Lake and stream survey 1988 #21</t>
  </si>
  <si>
    <t>Birthday Creek</t>
  </si>
  <si>
    <t>LTER_Shaver_Kling_Bowden_Giblin_Luecke</t>
  </si>
  <si>
    <t>Borrow Pit  1</t>
  </si>
  <si>
    <t>Lake and stream survey 1988 #14</t>
  </si>
  <si>
    <t>Borrow Pit  2</t>
  </si>
  <si>
    <t>Lake and stream survey 1988 #15</t>
  </si>
  <si>
    <t>Camp Pond</t>
  </si>
  <si>
    <t>Near old camp by the south end of the runway</t>
  </si>
  <si>
    <t>Lake and stream survey 1988 #27</t>
  </si>
  <si>
    <t>C Pond</t>
  </si>
  <si>
    <t>Campsite Lake</t>
  </si>
  <si>
    <t>Oil Can</t>
  </si>
  <si>
    <t>Gas Can</t>
  </si>
  <si>
    <t>Clem Lake</t>
  </si>
  <si>
    <t>Cobblestone Creek</t>
  </si>
  <si>
    <t>Conflict Lakes A1</t>
  </si>
  <si>
    <t>Conflict Lakes A2</t>
  </si>
  <si>
    <t>Conflict Lakes B1</t>
  </si>
  <si>
    <t>Conflict Lakes B2</t>
  </si>
  <si>
    <t>Conflict Lakes B3</t>
  </si>
  <si>
    <t>Conflict Lakes B4</t>
  </si>
  <si>
    <t>GTH154 or 153</t>
  </si>
  <si>
    <t>Conflict Lakes C1</t>
  </si>
  <si>
    <t>Conflict Lakes C2</t>
  </si>
  <si>
    <t>Control CALM grid, NW corner</t>
  </si>
  <si>
    <t>Costal Plain Lake  00</t>
  </si>
  <si>
    <t>Costal plain Survey #1 in 1995</t>
  </si>
  <si>
    <t>Costal Plain Lake  01</t>
  </si>
  <si>
    <t>LH-1</t>
  </si>
  <si>
    <t>Coastal Plain Lakes Helicopter Survey 1994, 1995 #1 and #2</t>
  </si>
  <si>
    <t>LS-1</t>
  </si>
  <si>
    <t>Costal Plain Lakes Helicopter Survey (#1 and #2 1996 &amp; 1997)</t>
  </si>
  <si>
    <t>Costal Plain Lake  02</t>
  </si>
  <si>
    <t>LH-2</t>
  </si>
  <si>
    <t>LS-2</t>
  </si>
  <si>
    <t>Costal Plain Lake  03</t>
  </si>
  <si>
    <t>LH-3</t>
  </si>
  <si>
    <t>LS-3</t>
  </si>
  <si>
    <t>Costal Plain Lake  04</t>
  </si>
  <si>
    <t>LH-4</t>
  </si>
  <si>
    <t>LS-4</t>
  </si>
  <si>
    <t>Costal Plain Lake  05</t>
  </si>
  <si>
    <t>LH-5</t>
  </si>
  <si>
    <t>LS-5</t>
  </si>
  <si>
    <t>Costal Plain Lake  06</t>
  </si>
  <si>
    <t>LH-6</t>
  </si>
  <si>
    <t>LS-6</t>
  </si>
  <si>
    <t>Costal Plain Lake  07</t>
  </si>
  <si>
    <t>LH-7</t>
  </si>
  <si>
    <t>LS-7</t>
  </si>
  <si>
    <t>Costal Plain Lake  08</t>
  </si>
  <si>
    <t>LH-8</t>
  </si>
  <si>
    <t>LS-8</t>
  </si>
  <si>
    <t>Costal Plain Lake  09</t>
  </si>
  <si>
    <t>LH-9</t>
  </si>
  <si>
    <t>LS-9</t>
  </si>
  <si>
    <t>Costal Plain Lake  10</t>
  </si>
  <si>
    <t>LH-10</t>
  </si>
  <si>
    <t>LS-10</t>
  </si>
  <si>
    <t>Costal Plain Lake  11</t>
  </si>
  <si>
    <t>LH-11</t>
  </si>
  <si>
    <t>LS-11</t>
  </si>
  <si>
    <t>Costal Plain Lake  12</t>
  </si>
  <si>
    <t>LH-12</t>
  </si>
  <si>
    <t>LS-12</t>
  </si>
  <si>
    <t>Costal Plain Lake  13</t>
  </si>
  <si>
    <t>LH-13</t>
  </si>
  <si>
    <t>LS-13</t>
  </si>
  <si>
    <t>Costal Plain Lake  14</t>
  </si>
  <si>
    <t>LH-14</t>
  </si>
  <si>
    <t>LS-14</t>
  </si>
  <si>
    <t>Costal Plain Lake  15</t>
  </si>
  <si>
    <t>LS-15</t>
  </si>
  <si>
    <t>Costal Plain Lake  16</t>
  </si>
  <si>
    <t>LH-16</t>
  </si>
  <si>
    <t>LS-16</t>
  </si>
  <si>
    <t>Costal Plain Lake  17</t>
  </si>
  <si>
    <t>LH-17</t>
  </si>
  <si>
    <t>LS-17</t>
  </si>
  <si>
    <t>Costal Plain Lake  18</t>
  </si>
  <si>
    <t>LH-18</t>
  </si>
  <si>
    <t>LS-18</t>
  </si>
  <si>
    <t>Costal Plain Lake  19</t>
  </si>
  <si>
    <t>LH-19</t>
  </si>
  <si>
    <t>LS-19</t>
  </si>
  <si>
    <t>Costal Plain Lake  20</t>
  </si>
  <si>
    <t>LH-20</t>
  </si>
  <si>
    <t>LS-20</t>
  </si>
  <si>
    <t>Costal Plain Lake  21</t>
  </si>
  <si>
    <t>LH-21</t>
  </si>
  <si>
    <t>LS-21</t>
  </si>
  <si>
    <t>Costal Plain Lake  22</t>
  </si>
  <si>
    <t>LH-22</t>
  </si>
  <si>
    <t>LS-22</t>
  </si>
  <si>
    <t>Costal Plain Lake  23</t>
  </si>
  <si>
    <t>LH-23</t>
  </si>
  <si>
    <t>LS-23</t>
  </si>
  <si>
    <t>Costal Plain Lake  24</t>
  </si>
  <si>
    <t>LH-24</t>
  </si>
  <si>
    <t>LS-24</t>
  </si>
  <si>
    <t>Costal Plain Lake  25</t>
  </si>
  <si>
    <t>LH-25</t>
  </si>
  <si>
    <t>LS-25</t>
  </si>
  <si>
    <t>Costal Plain Lake  26</t>
  </si>
  <si>
    <t>LH-26</t>
  </si>
  <si>
    <t>LS-26</t>
  </si>
  <si>
    <t>Costal Plain Lake  27</t>
  </si>
  <si>
    <t>LH-27</t>
  </si>
  <si>
    <t>LS-27</t>
  </si>
  <si>
    <t>Costal Plain Lake  28</t>
  </si>
  <si>
    <t>LH-28</t>
  </si>
  <si>
    <t>LS-28</t>
  </si>
  <si>
    <t>Costal Plain Lake  29</t>
  </si>
  <si>
    <t>LH-29</t>
  </si>
  <si>
    <t>Costal Plain Lake  30</t>
  </si>
  <si>
    <t>Colville river</t>
  </si>
  <si>
    <t>Coastal Plain survey #3 in 1995</t>
  </si>
  <si>
    <t>Dam Pond</t>
  </si>
  <si>
    <t>Behind kitchen at new camp, just north of main Toolik Inlet</t>
  </si>
  <si>
    <t>Dennis Lake</t>
  </si>
  <si>
    <t>Lakes north of Toolik Lake, flowing into Toolik outlet stream</t>
  </si>
  <si>
    <t>Desert Lake</t>
  </si>
  <si>
    <t>Far South survey 1999</t>
  </si>
  <si>
    <t>Dimple Flux Star</t>
  </si>
  <si>
    <t>Surface Reflectance Sampling</t>
  </si>
  <si>
    <t>Dimple Lake</t>
  </si>
  <si>
    <t>Dimple Lake Inlet</t>
  </si>
  <si>
    <t>Dimple Inlet</t>
  </si>
  <si>
    <t>Dimple Lake Outlet</t>
  </si>
  <si>
    <t>Dimple Outlet</t>
  </si>
  <si>
    <t>Dimple Lake Outlet - NEW</t>
  </si>
  <si>
    <t>Dimple Lake Outlet Stream</t>
  </si>
  <si>
    <t>Dimple Outlet Stream</t>
  </si>
  <si>
    <t>Drill Hole Lake</t>
  </si>
  <si>
    <t>Duckling pond</t>
  </si>
  <si>
    <t>Dune Pond</t>
  </si>
  <si>
    <t>Lake and stream survey 1988 #20</t>
  </si>
  <si>
    <t>E 01</t>
  </si>
  <si>
    <t>E 1</t>
  </si>
  <si>
    <t>E1</t>
  </si>
  <si>
    <t>E 01 Outlet</t>
  </si>
  <si>
    <t>E1 Outlet</t>
  </si>
  <si>
    <t>E1-Out</t>
  </si>
  <si>
    <t>E 02</t>
  </si>
  <si>
    <t>E 2</t>
  </si>
  <si>
    <t>E2</t>
  </si>
  <si>
    <t>E 03</t>
  </si>
  <si>
    <t>E 3</t>
  </si>
  <si>
    <t>E3</t>
  </si>
  <si>
    <t>E 04</t>
  </si>
  <si>
    <t>E 4</t>
  </si>
  <si>
    <t>E4</t>
  </si>
  <si>
    <t>E 05</t>
  </si>
  <si>
    <t>Oil Spill Lake</t>
  </si>
  <si>
    <t>Oil</t>
  </si>
  <si>
    <t>E 06</t>
  </si>
  <si>
    <t>E 6</t>
  </si>
  <si>
    <t>E6</t>
  </si>
  <si>
    <t>E 5 Inlet South</t>
  </si>
  <si>
    <t xml:space="preserve">E 05 In South        </t>
  </si>
  <si>
    <t>E5InS</t>
  </si>
  <si>
    <t>E 5 Inlet West</t>
  </si>
  <si>
    <t xml:space="preserve">E 05 In West        </t>
  </si>
  <si>
    <t>E5InWest</t>
  </si>
  <si>
    <t>E 5 Outlet</t>
  </si>
  <si>
    <t>E5 Out</t>
  </si>
  <si>
    <t>E5Out</t>
  </si>
  <si>
    <t>Echooka River</t>
  </si>
  <si>
    <t>Elusive Lake</t>
  </si>
  <si>
    <t>On accomplishment Creek</t>
  </si>
  <si>
    <t>Escher Lakes 01</t>
  </si>
  <si>
    <t>Escher Lakes 02</t>
  </si>
  <si>
    <t>Escher Lakes 03</t>
  </si>
  <si>
    <t>Escher Lakes 04</t>
  </si>
  <si>
    <t>Escher Lakes 05</t>
  </si>
  <si>
    <t>Escher Lakes 06</t>
  </si>
  <si>
    <t>Far South Lake  04</t>
  </si>
  <si>
    <t>Far South Lake  05</t>
  </si>
  <si>
    <t>Fog Lake 1</t>
  </si>
  <si>
    <t>Foggy Lake</t>
  </si>
  <si>
    <t>Fog 01</t>
  </si>
  <si>
    <t>Fog Lake 2</t>
  </si>
  <si>
    <t>Hanging Lake</t>
  </si>
  <si>
    <t>Fog 02</t>
  </si>
  <si>
    <t>Fog Lake 3</t>
  </si>
  <si>
    <t>Moose Lake</t>
  </si>
  <si>
    <t>Fog 03</t>
  </si>
  <si>
    <t>Fog Lake 4</t>
  </si>
  <si>
    <t>Fog 04</t>
  </si>
  <si>
    <t>F4</t>
  </si>
  <si>
    <t>Fog Lake 5</t>
  </si>
  <si>
    <t>Fog 05</t>
  </si>
  <si>
    <t>Galbraith Lake</t>
  </si>
  <si>
    <t>Lake and stream survey 1988 #04</t>
  </si>
  <si>
    <t>Galbraith lake survey lake 03</t>
  </si>
  <si>
    <t>GS03</t>
  </si>
  <si>
    <t>Galbraith lake survey</t>
  </si>
  <si>
    <t>Galbraith lake survey lake 04</t>
  </si>
  <si>
    <t>GS04</t>
  </si>
  <si>
    <t>Galbraith lake survey lake 05</t>
  </si>
  <si>
    <t>GS05</t>
  </si>
  <si>
    <t>Galbraith lake survey lake 06</t>
  </si>
  <si>
    <t>GS06</t>
  </si>
  <si>
    <t>Galbraith lake survey lake 07</t>
  </si>
  <si>
    <t>GS07</t>
  </si>
  <si>
    <t>Galbraith lake survey lake 08</t>
  </si>
  <si>
    <t>GS08</t>
  </si>
  <si>
    <t>Galbraith lake survey lake 09</t>
  </si>
  <si>
    <t>GS09</t>
  </si>
  <si>
    <t>Galbraith lake survey lake 14</t>
  </si>
  <si>
    <t>GS14</t>
  </si>
  <si>
    <t>Galbraith lake survey lake 17</t>
  </si>
  <si>
    <t>GS17</t>
  </si>
  <si>
    <t>Galbraith lake survey lake 18</t>
  </si>
  <si>
    <t>GS18</t>
  </si>
  <si>
    <t>Galbraith lake survey lake 19</t>
  </si>
  <si>
    <t>GS19</t>
  </si>
  <si>
    <t>Galbraith lake survey lake 20</t>
  </si>
  <si>
    <t>GS20</t>
  </si>
  <si>
    <t>Gates River Station 04</t>
  </si>
  <si>
    <t>Gates River Sta. 4</t>
  </si>
  <si>
    <t>Gates River Station 05</t>
  </si>
  <si>
    <t>Gates River Sta. 5</t>
  </si>
  <si>
    <t>Gates River Station 06</t>
  </si>
  <si>
    <t>Gates River Sta. 6</t>
  </si>
  <si>
    <t>Green Cabin Lake</t>
  </si>
  <si>
    <t>Headwater Lake of the Kupurak River</t>
  </si>
  <si>
    <t>GTH#46</t>
  </si>
  <si>
    <t>GTH 046</t>
  </si>
  <si>
    <t>GTH 100</t>
  </si>
  <si>
    <t>Airstrip Lakes A2</t>
  </si>
  <si>
    <t>GTH_Hershey</t>
  </si>
  <si>
    <t>Geomorphic Trophic Hypothesis</t>
  </si>
  <si>
    <t>GTH 101</t>
  </si>
  <si>
    <t>Airstrip Lakes A3</t>
  </si>
  <si>
    <t>GTH 102</t>
  </si>
  <si>
    <t>GTH 103</t>
  </si>
  <si>
    <t>Airstrip Lakes A4</t>
  </si>
  <si>
    <t>GTH 104</t>
  </si>
  <si>
    <t>GTH 105</t>
  </si>
  <si>
    <t>GTH 106</t>
  </si>
  <si>
    <t>GTH 107</t>
  </si>
  <si>
    <t>GTH 108</t>
  </si>
  <si>
    <t>GTH 109</t>
  </si>
  <si>
    <t>GTH 110</t>
  </si>
  <si>
    <t>GTH 111</t>
  </si>
  <si>
    <t>GTH 112</t>
  </si>
  <si>
    <t>GTH 113</t>
  </si>
  <si>
    <t>GTH 114</t>
  </si>
  <si>
    <t>GTH 82</t>
  </si>
  <si>
    <t>GTH 83</t>
  </si>
  <si>
    <t>GTH 84</t>
  </si>
  <si>
    <t>GTH 85</t>
  </si>
  <si>
    <t>GTH 86</t>
  </si>
  <si>
    <t>GTH 87</t>
  </si>
  <si>
    <t>GTH 88</t>
  </si>
  <si>
    <t>GTH 89</t>
  </si>
  <si>
    <t>GTH 90</t>
  </si>
  <si>
    <t>GTH 91</t>
  </si>
  <si>
    <t>GTH 92</t>
  </si>
  <si>
    <t>GTH 93</t>
  </si>
  <si>
    <t>GTH 94</t>
  </si>
  <si>
    <t>GTH 95</t>
  </si>
  <si>
    <t>GTH 96</t>
  </si>
  <si>
    <t>GTH 97</t>
  </si>
  <si>
    <t>GTH 98</t>
  </si>
  <si>
    <t>GTH 99</t>
  </si>
  <si>
    <t>Airstrip Lakes A1</t>
  </si>
  <si>
    <t>Gypsy Pool</t>
  </si>
  <si>
    <t>Happy Valley Stream</t>
  </si>
  <si>
    <t>Helicopter Survey Lake  01</t>
  </si>
  <si>
    <t>LH2-1</t>
  </si>
  <si>
    <t>Lakes Helicopter Survey #2 1994, 1995</t>
  </si>
  <si>
    <t>Helicopter Survey Lake  02</t>
  </si>
  <si>
    <t>LH2-2</t>
  </si>
  <si>
    <t>Helicopter Survey Lake  03</t>
  </si>
  <si>
    <t>LH2-3</t>
  </si>
  <si>
    <t>Helicopter Survey Lake  04</t>
  </si>
  <si>
    <t>LH2-4</t>
  </si>
  <si>
    <t>Helicopter Survey Lake  05</t>
  </si>
  <si>
    <t>LH2-5</t>
  </si>
  <si>
    <t>Helicopter Survey Lake  06</t>
  </si>
  <si>
    <t>LH2-6</t>
  </si>
  <si>
    <t>Helicopter Survey Lake  07</t>
  </si>
  <si>
    <t>LH2-7</t>
  </si>
  <si>
    <t>Helicopter Survey Lake  08</t>
  </si>
  <si>
    <t>LH2-8</t>
  </si>
  <si>
    <t>Helicopter Survey Lake  09</t>
  </si>
  <si>
    <t>LH2-9</t>
  </si>
  <si>
    <t>Helicopter Survey Lake  10</t>
  </si>
  <si>
    <t>LH2-10</t>
  </si>
  <si>
    <t>Helicopter Survey Lake  11</t>
  </si>
  <si>
    <t>LH2-11</t>
  </si>
  <si>
    <t>Helicopter Survey Lake  12</t>
  </si>
  <si>
    <t>LH2-12</t>
  </si>
  <si>
    <t>Helicopter Survey Lake  13</t>
  </si>
  <si>
    <t>LH2-13</t>
  </si>
  <si>
    <t>Helicopter Survey Lake  14</t>
  </si>
  <si>
    <t>LH2-14</t>
  </si>
  <si>
    <t>Coastal plain survey #2 in 1995</t>
  </si>
  <si>
    <t>Helicopter Survey Lake  15</t>
  </si>
  <si>
    <t>LH2-15</t>
  </si>
  <si>
    <t>Hershey Creek</t>
  </si>
  <si>
    <t>Horn Lake</t>
  </si>
  <si>
    <t>I Minus</t>
  </si>
  <si>
    <t>Toolik Inlet Lakes</t>
  </si>
  <si>
    <t>I Minus 01</t>
  </si>
  <si>
    <t>I Minus 1</t>
  </si>
  <si>
    <t>I Minus 02</t>
  </si>
  <si>
    <t>I Minus 2</t>
  </si>
  <si>
    <t>I Minus Inlet</t>
  </si>
  <si>
    <t>Surveyed by Kling, Crump, Nannen in 2010</t>
  </si>
  <si>
    <t>Thermokarst</t>
  </si>
  <si>
    <t>I Minus Outlet</t>
  </si>
  <si>
    <t>I Swamp</t>
  </si>
  <si>
    <t>Swamp</t>
  </si>
  <si>
    <t>I Swamp Inlet</t>
  </si>
  <si>
    <t>Swamp between I8 an I9</t>
  </si>
  <si>
    <t>I-swamp In</t>
  </si>
  <si>
    <t>Swamp In</t>
  </si>
  <si>
    <t>ISeries</t>
  </si>
  <si>
    <t>I Swamp Outlet</t>
  </si>
  <si>
    <t>I-swamp Out</t>
  </si>
  <si>
    <t>Swamp Out</t>
  </si>
  <si>
    <t>I1</t>
  </si>
  <si>
    <t>I 1</t>
  </si>
  <si>
    <t>I-1</t>
  </si>
  <si>
    <t>I1 into I3</t>
  </si>
  <si>
    <t>I1-I3</t>
  </si>
  <si>
    <t>IS4</t>
  </si>
  <si>
    <t>I1 Outlet</t>
  </si>
  <si>
    <t>I1 Out</t>
  </si>
  <si>
    <t>IS3</t>
  </si>
  <si>
    <t>I2</t>
  </si>
  <si>
    <t>I 2</t>
  </si>
  <si>
    <t>I-2</t>
  </si>
  <si>
    <t>I2 into I3</t>
  </si>
  <si>
    <t>I2-I3</t>
  </si>
  <si>
    <t>IS5</t>
  </si>
  <si>
    <t>I2 Outlet</t>
  </si>
  <si>
    <t>I2 Out</t>
  </si>
  <si>
    <t>IS2</t>
  </si>
  <si>
    <t>I3</t>
  </si>
  <si>
    <t>I 3</t>
  </si>
  <si>
    <t>I-3</t>
  </si>
  <si>
    <t>I3 Outlet</t>
  </si>
  <si>
    <t>I3 Out</t>
  </si>
  <si>
    <t>IS6</t>
  </si>
  <si>
    <t>I4</t>
  </si>
  <si>
    <t>I 4</t>
  </si>
  <si>
    <t>I-4</t>
  </si>
  <si>
    <t>I4 into I5</t>
  </si>
  <si>
    <t>I4-I5</t>
  </si>
  <si>
    <t>IS8</t>
  </si>
  <si>
    <t>I4 Outlet</t>
  </si>
  <si>
    <t>I4 Out</t>
  </si>
  <si>
    <t>IS7</t>
  </si>
  <si>
    <t>I5</t>
  </si>
  <si>
    <t>I 5</t>
  </si>
  <si>
    <t>I-5</t>
  </si>
  <si>
    <t>I5 into I6</t>
  </si>
  <si>
    <t>I5-I6</t>
  </si>
  <si>
    <t>IS10</t>
  </si>
  <si>
    <t>I5 Outlet</t>
  </si>
  <si>
    <t>I5 Out</t>
  </si>
  <si>
    <t>IS9</t>
  </si>
  <si>
    <t>I6</t>
  </si>
  <si>
    <t>I 6</t>
  </si>
  <si>
    <t>I-6</t>
  </si>
  <si>
    <t>I6 Headwater Lake</t>
  </si>
  <si>
    <t>I6 West Headwater</t>
  </si>
  <si>
    <t>I6 HW</t>
  </si>
  <si>
    <t>I6 Headwater Lake Inlet</t>
  </si>
  <si>
    <t>I6 West Headwaters Inlet</t>
  </si>
  <si>
    <t>I6 HW Inlet</t>
  </si>
  <si>
    <t>I6 Headwater Lake into I6 station 2</t>
  </si>
  <si>
    <t>Surveyed by LTREB in 2008, 2009, 2010</t>
  </si>
  <si>
    <t>Stream Survey</t>
  </si>
  <si>
    <t>I6 Headwater Lake into I6 station 3</t>
  </si>
  <si>
    <t>I6 Headwater Lake Outlet</t>
  </si>
  <si>
    <t>I6 West Headwaters Outlet</t>
  </si>
  <si>
    <t>I6 HW Outlet</t>
  </si>
  <si>
    <t>I6 Inlet West</t>
  </si>
  <si>
    <t>I6 West Inlet</t>
  </si>
  <si>
    <t>IS11</t>
  </si>
  <si>
    <t>I6 Outlet</t>
  </si>
  <si>
    <t>I6 Out</t>
  </si>
  <si>
    <t>IS12</t>
  </si>
  <si>
    <t>I7</t>
  </si>
  <si>
    <t>I 7</t>
  </si>
  <si>
    <t>I-7</t>
  </si>
  <si>
    <t>I7 into I9</t>
  </si>
  <si>
    <t>I7-I9</t>
  </si>
  <si>
    <t>IS16</t>
  </si>
  <si>
    <t>I7 Outlet</t>
  </si>
  <si>
    <t>I7 Out</t>
  </si>
  <si>
    <t>IS13</t>
  </si>
  <si>
    <t>I8</t>
  </si>
  <si>
    <t>I 8</t>
  </si>
  <si>
    <t>I-8</t>
  </si>
  <si>
    <t>I8 Headwater</t>
  </si>
  <si>
    <t>I8 HW</t>
  </si>
  <si>
    <t>IS1</t>
  </si>
  <si>
    <t>I8 Headwater stream station 2</t>
  </si>
  <si>
    <t>I8 Headwater stream station 3</t>
  </si>
  <si>
    <t>I8 Inlet</t>
  </si>
  <si>
    <t>I8 In</t>
  </si>
  <si>
    <t>IS14</t>
  </si>
  <si>
    <t>I8 Inlet East</t>
  </si>
  <si>
    <t>Surveyed by Ashley Larsen for her REU project in 2007.  Mentored by GWK and HEA</t>
  </si>
  <si>
    <t>REU_Kling_Larsen_Adams</t>
  </si>
  <si>
    <t>I8 Mass Balance Survey</t>
  </si>
  <si>
    <t>I8 Inlet East Northeast</t>
  </si>
  <si>
    <t>I8 Inlet South</t>
  </si>
  <si>
    <t>I8 Inlet Southeast</t>
  </si>
  <si>
    <t>I8 Inlet-0.42k</t>
  </si>
  <si>
    <t>I8 Headwaters Habitat Survey</t>
  </si>
  <si>
    <t>I8 into I9</t>
  </si>
  <si>
    <t>I8-I9</t>
  </si>
  <si>
    <t>IS17</t>
  </si>
  <si>
    <t>I8 Lake Center</t>
  </si>
  <si>
    <t>I8 Lake East</t>
  </si>
  <si>
    <t>I8 Lake Northeast</t>
  </si>
  <si>
    <t>I8 Lake Northwest</t>
  </si>
  <si>
    <t>I8 Lake Southeast</t>
  </si>
  <si>
    <t>I8 Lake Southwest</t>
  </si>
  <si>
    <t>I8 Lake West</t>
  </si>
  <si>
    <t>I8 Northeast Inlet</t>
  </si>
  <si>
    <t>I8 Outlet</t>
  </si>
  <si>
    <t>I8 Out</t>
  </si>
  <si>
    <t xml:space="preserve">Blueberry Creek </t>
  </si>
  <si>
    <t>I8 Outlet Tributary</t>
  </si>
  <si>
    <t>"NA" is the same as Blueberry Creek, and should be called I-8 Outlet</t>
  </si>
  <si>
    <t>NA Trib</t>
  </si>
  <si>
    <t>Blueberry Creek Trib</t>
  </si>
  <si>
    <t>I9</t>
  </si>
  <si>
    <t>I 9</t>
  </si>
  <si>
    <t>I-9</t>
  </si>
  <si>
    <t>I9 Outlet</t>
  </si>
  <si>
    <t>I9 Out</t>
  </si>
  <si>
    <t>IS22</t>
  </si>
  <si>
    <t>Imnavait Creek</t>
  </si>
  <si>
    <t>IMN</t>
  </si>
  <si>
    <t>Imnaviat</t>
  </si>
  <si>
    <t>Imnavait Site 02</t>
  </si>
  <si>
    <t>Imnavait Site2</t>
  </si>
  <si>
    <t>Imnavait Site 03</t>
  </si>
  <si>
    <t>Imnavait Site3</t>
  </si>
  <si>
    <t>Biocomplexity_Kling_Stieglitz</t>
  </si>
  <si>
    <t>Imnavait Upper</t>
  </si>
  <si>
    <t>Imnavait Weir</t>
  </si>
  <si>
    <t>IMN Weir</t>
  </si>
  <si>
    <t>Imnavait</t>
  </si>
  <si>
    <t>Imnavait WT 07 Weir</t>
  </si>
  <si>
    <t>WT7 weir</t>
  </si>
  <si>
    <t>Imnavait WT 07-01</t>
  </si>
  <si>
    <t>Imnavait WT 07-02</t>
  </si>
  <si>
    <t>Imnavait WT 07-03</t>
  </si>
  <si>
    <t>Imnavait WT 07-04</t>
  </si>
  <si>
    <t>Imnavait WT 08-01</t>
  </si>
  <si>
    <t>IMN WT 8-1</t>
  </si>
  <si>
    <t>Imnavait WT 08-02</t>
  </si>
  <si>
    <t>IMN WT 8-2</t>
  </si>
  <si>
    <t>Imnavait WT 08-03</t>
  </si>
  <si>
    <t>IMN WT 8-3</t>
  </si>
  <si>
    <t>Imnavait WT 08-04</t>
  </si>
  <si>
    <t>IMN WT 8-4</t>
  </si>
  <si>
    <t>Imnavait WT 08-05</t>
  </si>
  <si>
    <t>IMN WT 8-5</t>
  </si>
  <si>
    <t>Imnavait WT 08-06</t>
  </si>
  <si>
    <t>IMN WT 8-6</t>
  </si>
  <si>
    <t>Imnavait WT 08-07</t>
  </si>
  <si>
    <t>IMN WT 8-7</t>
  </si>
  <si>
    <t>Imnavait WT 08-08</t>
  </si>
  <si>
    <t>IMN WT 8-8</t>
  </si>
  <si>
    <t>Imnavait WT 08-09</t>
  </si>
  <si>
    <t>IMN WT 8-9</t>
  </si>
  <si>
    <t>Imnavait WT 08-10</t>
  </si>
  <si>
    <t>IMN WT 8-10</t>
  </si>
  <si>
    <t>Imnavait WT 08-11</t>
  </si>
  <si>
    <t>IMN WT 8-11</t>
  </si>
  <si>
    <t>Imnavait WT 08-12</t>
  </si>
  <si>
    <t>IMN WT 8-12</t>
  </si>
  <si>
    <t>Imnavait WT 08-13</t>
  </si>
  <si>
    <t>IMN WT 8-13</t>
  </si>
  <si>
    <t>Imnavait WT 08-14</t>
  </si>
  <si>
    <t>IMN WT 8-14</t>
  </si>
  <si>
    <t>Imnavait WT 08-15</t>
  </si>
  <si>
    <t>IMN WT 8-15</t>
  </si>
  <si>
    <t>Imnavait WT 08-16</t>
  </si>
  <si>
    <t>IMN WT 8-16</t>
  </si>
  <si>
    <t>Imnavait WT 08-17</t>
  </si>
  <si>
    <t>IMN WT 8-17</t>
  </si>
  <si>
    <t>Imnavait WT 12 CR5</t>
  </si>
  <si>
    <t>Imnavait WT 12 FS5</t>
  </si>
  <si>
    <t>Imnavait WT 12 LB5</t>
  </si>
  <si>
    <t>Yuriko Yano and Kei Koba sites on Water Track 12 - FS=Footslope, CR=Crest, UB=Upper Back Slope, LB=Lower Back Slope</t>
  </si>
  <si>
    <t>Imnavait WT 12 UB5</t>
  </si>
  <si>
    <t>Island Lake</t>
  </si>
  <si>
    <t>Lake and stream survey 1988 #28</t>
  </si>
  <si>
    <t>Itigaknit Lake</t>
  </si>
  <si>
    <t>Has been called NE15, which is incorrect.  Delete this reference if you find it, and change to Itigaknit.</t>
  </si>
  <si>
    <t>Itkillik Lake</t>
  </si>
  <si>
    <t>Itkillik</t>
  </si>
  <si>
    <t>Itkillik Tributary-Burned</t>
  </si>
  <si>
    <t>Angie 1a</t>
  </si>
  <si>
    <t>Itkillik Tributary-Unburned</t>
  </si>
  <si>
    <t>Angie 2a</t>
  </si>
  <si>
    <t>Kuparuk River</t>
  </si>
  <si>
    <t>Kup</t>
  </si>
  <si>
    <t>Kuparuk River Ice Field</t>
  </si>
  <si>
    <t>Kuparuk aufeis</t>
  </si>
  <si>
    <t>Kuparuk Spring</t>
  </si>
  <si>
    <t>KUPB</t>
  </si>
  <si>
    <t>Lake Africa</t>
  </si>
  <si>
    <t>Lake and stream survey 1988 #18</t>
  </si>
  <si>
    <t>Lake Anne</t>
  </si>
  <si>
    <t>Lake and stream survey 1988 #05</t>
  </si>
  <si>
    <t>Lake Carolyn</t>
  </si>
  <si>
    <t>Lake and stream survey 1988 #17</t>
  </si>
  <si>
    <t>Lake Charles</t>
  </si>
  <si>
    <t>Lake and stream survey 1988 #10</t>
  </si>
  <si>
    <t>Lake Colleen</t>
  </si>
  <si>
    <t>Lake and stream survey 1988 #22</t>
  </si>
  <si>
    <t>Colleen Lake</t>
  </si>
  <si>
    <t>Lake George</t>
  </si>
  <si>
    <t>Lake and stream survey 1988 #06</t>
  </si>
  <si>
    <t>Lake Maxine</t>
  </si>
  <si>
    <t>Lake and stream survey 1988 #16</t>
  </si>
  <si>
    <t>Lake William</t>
  </si>
  <si>
    <t>Lake and stream survey 1988 #26</t>
  </si>
  <si>
    <t>William Lake</t>
  </si>
  <si>
    <t>LTER 247</t>
  </si>
  <si>
    <t>GTH 01</t>
  </si>
  <si>
    <t>LTER 248</t>
  </si>
  <si>
    <t>GTH 02</t>
  </si>
  <si>
    <t>LTER 249</t>
  </si>
  <si>
    <t>GTH 03</t>
  </si>
  <si>
    <t>LTER 250</t>
  </si>
  <si>
    <t>GTH 04</t>
  </si>
  <si>
    <t>LTER 251</t>
  </si>
  <si>
    <t>GTH 05</t>
  </si>
  <si>
    <t>LTER 252</t>
  </si>
  <si>
    <t>GTH 06</t>
  </si>
  <si>
    <t>LTER 253</t>
  </si>
  <si>
    <t>GTH 07</t>
  </si>
  <si>
    <t>LTER 254</t>
  </si>
  <si>
    <t>GTH 08</t>
  </si>
  <si>
    <t>LTER 255</t>
  </si>
  <si>
    <t>GTH 09</t>
  </si>
  <si>
    <t>LTER 256</t>
  </si>
  <si>
    <t>GTH 10</t>
  </si>
  <si>
    <t>LTER 257</t>
  </si>
  <si>
    <t>GTH 11</t>
  </si>
  <si>
    <t>LTER 258</t>
  </si>
  <si>
    <t>GTH 12</t>
  </si>
  <si>
    <t>LTER 259</t>
  </si>
  <si>
    <t>GTH 13</t>
  </si>
  <si>
    <t>LTER 260</t>
  </si>
  <si>
    <t>GTH 14</t>
  </si>
  <si>
    <t>LTER 261</t>
  </si>
  <si>
    <t>GTH 15</t>
  </si>
  <si>
    <t>LTER 262</t>
  </si>
  <si>
    <t>GTH 16</t>
  </si>
  <si>
    <t>LTER 263</t>
  </si>
  <si>
    <t>GTH 17</t>
  </si>
  <si>
    <t>LTER 264</t>
  </si>
  <si>
    <t>GTH 18</t>
  </si>
  <si>
    <t>LTER 265</t>
  </si>
  <si>
    <t>GTH 19</t>
  </si>
  <si>
    <t>LTER 266</t>
  </si>
  <si>
    <t>GTH 20</t>
  </si>
  <si>
    <t>LTER 267</t>
  </si>
  <si>
    <t>GTH 21</t>
  </si>
  <si>
    <t>LTER 268</t>
  </si>
  <si>
    <t>GTH 22</t>
  </si>
  <si>
    <t>LTER 269</t>
  </si>
  <si>
    <t>GTH 23</t>
  </si>
  <si>
    <t>LTER 270</t>
  </si>
  <si>
    <t>GTH 24</t>
  </si>
  <si>
    <t>LTER 271</t>
  </si>
  <si>
    <t>GTH 25</t>
  </si>
  <si>
    <t>LTER 272</t>
  </si>
  <si>
    <t>GTH 26</t>
  </si>
  <si>
    <t>LTER 315</t>
  </si>
  <si>
    <t>GTH 27</t>
  </si>
  <si>
    <t>LTER 316</t>
  </si>
  <si>
    <t>GTH 28</t>
  </si>
  <si>
    <t>LTER 317</t>
  </si>
  <si>
    <t>GTH 29</t>
  </si>
  <si>
    <t>LTER 318</t>
  </si>
  <si>
    <t>-149.1847045</t>
  </si>
  <si>
    <t>GTH 30</t>
  </si>
  <si>
    <t>LTER 319</t>
  </si>
  <si>
    <t>GTH 31</t>
  </si>
  <si>
    <t>LTER 320</t>
  </si>
  <si>
    <t>GTH 32</t>
  </si>
  <si>
    <t>LTER 321</t>
  </si>
  <si>
    <t>GTH 33</t>
  </si>
  <si>
    <t>LTER 322</t>
  </si>
  <si>
    <t>GTH 34</t>
  </si>
  <si>
    <t>LTER 323</t>
  </si>
  <si>
    <t>GTH 35</t>
  </si>
  <si>
    <t>LTER 324</t>
  </si>
  <si>
    <t>GTH 36</t>
  </si>
  <si>
    <t>LTER 325</t>
  </si>
  <si>
    <t>GTH 37</t>
  </si>
  <si>
    <t>LTER 326</t>
  </si>
  <si>
    <t>GTH 38</t>
  </si>
  <si>
    <t>LTER 327</t>
  </si>
  <si>
    <t>GTH 39</t>
  </si>
  <si>
    <t>LTER 328</t>
  </si>
  <si>
    <t>GTH 40</t>
  </si>
  <si>
    <t>LTER 329</t>
  </si>
  <si>
    <t>GTH 41</t>
  </si>
  <si>
    <t>LTER 330</t>
  </si>
  <si>
    <t>GTH 42</t>
  </si>
  <si>
    <t>LTER 331</t>
  </si>
  <si>
    <t>GTH 43</t>
  </si>
  <si>
    <t>LTER 332</t>
  </si>
  <si>
    <t>GTH 44</t>
  </si>
  <si>
    <t>LTER 333</t>
  </si>
  <si>
    <t>GTH 45</t>
  </si>
  <si>
    <t>LTER 335</t>
  </si>
  <si>
    <t>GTH 47</t>
  </si>
  <si>
    <t>LTER 336</t>
  </si>
  <si>
    <t>GTH 48</t>
  </si>
  <si>
    <t>LTER 337</t>
  </si>
  <si>
    <t>GTH 49</t>
  </si>
  <si>
    <t>LTER 338</t>
  </si>
  <si>
    <t>GTH 50</t>
  </si>
  <si>
    <t>LTER 339</t>
  </si>
  <si>
    <t>GTH 51</t>
  </si>
  <si>
    <t>LTER 340</t>
  </si>
  <si>
    <t>GTH 52</t>
  </si>
  <si>
    <t>LTER 341</t>
  </si>
  <si>
    <t>GTH 53</t>
  </si>
  <si>
    <t>LTER 342</t>
  </si>
  <si>
    <t>GTH 54</t>
  </si>
  <si>
    <t>LTER 343</t>
  </si>
  <si>
    <t>GTH 55</t>
  </si>
  <si>
    <t>LTER 344</t>
  </si>
  <si>
    <t>GTH 56</t>
  </si>
  <si>
    <t>LTER 345</t>
  </si>
  <si>
    <t>GTH 57</t>
  </si>
  <si>
    <t>LTER 346</t>
  </si>
  <si>
    <t>GTH 58</t>
  </si>
  <si>
    <t>LTER 347</t>
  </si>
  <si>
    <t>GTH 59</t>
  </si>
  <si>
    <t>LTER 348</t>
  </si>
  <si>
    <t>GTH 60</t>
  </si>
  <si>
    <t>LTER 349</t>
  </si>
  <si>
    <t>GTH 61</t>
  </si>
  <si>
    <t>LTER 350</t>
  </si>
  <si>
    <t>GTH 62</t>
  </si>
  <si>
    <t>LTER 351</t>
  </si>
  <si>
    <t>GTH 63</t>
  </si>
  <si>
    <t>LTER 352</t>
  </si>
  <si>
    <t>GTH 64</t>
  </si>
  <si>
    <t>LTER 353</t>
  </si>
  <si>
    <t>GTH 65</t>
  </si>
  <si>
    <t>LTER 354</t>
  </si>
  <si>
    <t>GTH 66</t>
  </si>
  <si>
    <t>LTER 355</t>
  </si>
  <si>
    <t>GTH 67</t>
  </si>
  <si>
    <t>LTER 357</t>
  </si>
  <si>
    <t>GTH 69</t>
  </si>
  <si>
    <t>LTER 358</t>
  </si>
  <si>
    <t>GTH 70</t>
  </si>
  <si>
    <t>LTER 359</t>
  </si>
  <si>
    <t>GTH 71</t>
  </si>
  <si>
    <t>LTER 360</t>
  </si>
  <si>
    <t>GTH 72</t>
  </si>
  <si>
    <t>LTER 361</t>
  </si>
  <si>
    <t>GTH 73</t>
  </si>
  <si>
    <t>LTER 362</t>
  </si>
  <si>
    <t>GTH 74</t>
  </si>
  <si>
    <t>LTER 363</t>
  </si>
  <si>
    <t>GTH 75</t>
  </si>
  <si>
    <t>LTER 364</t>
  </si>
  <si>
    <t>GTH 76</t>
  </si>
  <si>
    <t>LTER 365</t>
  </si>
  <si>
    <t>GTH 77</t>
  </si>
  <si>
    <t>LTER 366</t>
  </si>
  <si>
    <t>GTH 78</t>
  </si>
  <si>
    <t>LTER 367</t>
  </si>
  <si>
    <t>GTH 79</t>
  </si>
  <si>
    <t>LTER 368</t>
  </si>
  <si>
    <t>GTH 80</t>
  </si>
  <si>
    <t>LTER 369</t>
  </si>
  <si>
    <t>GTH 81</t>
  </si>
  <si>
    <t>LTER Heath Tundra</t>
  </si>
  <si>
    <t>Heather Block 1 Northeast corner</t>
  </si>
  <si>
    <t>Moist Acidic Tussock Tundra (MAT) Northeast corner block 1</t>
  </si>
  <si>
    <t>LTER Moist Acidic Tussock Tundra 1981 plots</t>
  </si>
  <si>
    <t>1981 Moist Acidic Tussock Tundra Northeast corner Block 3</t>
  </si>
  <si>
    <t>LTER Moist NonAcidic NonTussock Tundra</t>
  </si>
  <si>
    <t>Moist NonAcidic NonTussock Tundra (MNNT) Northeast corner Block 1</t>
  </si>
  <si>
    <t>LTER Moist NonAcidic Tussock Tundra</t>
  </si>
  <si>
    <t>Moist NonAcidic Tussock Tundra (MNT) Northeast corner block 1</t>
  </si>
  <si>
    <t>LTER Shrub Tundra Block 1</t>
  </si>
  <si>
    <t>Shrub Northeast corner Block 1</t>
  </si>
  <si>
    <t>LTER Shrub Tundra Block 2</t>
  </si>
  <si>
    <t>Shrub Block 2 Northeast corner</t>
  </si>
  <si>
    <t>LTER Wet Sedge Tundra Block 1</t>
  </si>
  <si>
    <t>Wet Sedge Block 1 Northeast corner</t>
  </si>
  <si>
    <t>Wet Sedge Block 2 Northeast corner</t>
  </si>
  <si>
    <t>Luna Lake</t>
  </si>
  <si>
    <t>May Creek</t>
  </si>
  <si>
    <t>Milake</t>
  </si>
  <si>
    <t>Milake into NE 14</t>
  </si>
  <si>
    <t>LTER_Bowden_Kling</t>
  </si>
  <si>
    <t>Milkyway Lower</t>
  </si>
  <si>
    <t>MWL</t>
  </si>
  <si>
    <t>IS18</t>
  </si>
  <si>
    <t>Milkyway Upper</t>
  </si>
  <si>
    <t>MWU</t>
  </si>
  <si>
    <t>IS24</t>
  </si>
  <si>
    <t>Moderate CALM grid, NW corner</t>
  </si>
  <si>
    <t>N 01</t>
  </si>
  <si>
    <t>N1</t>
  </si>
  <si>
    <t>N1S and N1D for Shallow and Deep ends of the lake</t>
  </si>
  <si>
    <t>N 02</t>
  </si>
  <si>
    <t>N2</t>
  </si>
  <si>
    <t>N2F, N2C, N2 Reference, and N2 Treatment</t>
  </si>
  <si>
    <t>N 03</t>
  </si>
  <si>
    <t>N3</t>
  </si>
  <si>
    <t>N 04</t>
  </si>
  <si>
    <t>N4</t>
  </si>
  <si>
    <t>N 05</t>
  </si>
  <si>
    <t>N5</t>
  </si>
  <si>
    <t>Nanushuk Lake</t>
  </si>
  <si>
    <t>Natvakruak Lake</t>
  </si>
  <si>
    <t>Natvakruak_1 lake</t>
  </si>
  <si>
    <t>Natvakruak_2 lake</t>
  </si>
  <si>
    <t>Natvakruak_3 lake</t>
  </si>
  <si>
    <t>NE 01</t>
  </si>
  <si>
    <t>NE1</t>
  </si>
  <si>
    <t>NE 02</t>
  </si>
  <si>
    <t>NE2</t>
  </si>
  <si>
    <t>NE 03</t>
  </si>
  <si>
    <t>NE3</t>
  </si>
  <si>
    <t>NE 04</t>
  </si>
  <si>
    <t>NE4</t>
  </si>
  <si>
    <t>NE 05</t>
  </si>
  <si>
    <t>NE5</t>
  </si>
  <si>
    <t>NE 06</t>
  </si>
  <si>
    <t>NE6</t>
  </si>
  <si>
    <t>NE 07</t>
  </si>
  <si>
    <t>NE7</t>
  </si>
  <si>
    <t>NE 08</t>
  </si>
  <si>
    <t>NE8</t>
  </si>
  <si>
    <t>NE 09</t>
  </si>
  <si>
    <t>NE9</t>
  </si>
  <si>
    <t>NE 10</t>
  </si>
  <si>
    <t>NE10</t>
  </si>
  <si>
    <t>NE 11</t>
  </si>
  <si>
    <t>NE 12</t>
  </si>
  <si>
    <t>Dog Bone Lake</t>
  </si>
  <si>
    <t>NE 13</t>
  </si>
  <si>
    <t>NE13</t>
  </si>
  <si>
    <t>NE 14</t>
  </si>
  <si>
    <t>Lunker Lake</t>
  </si>
  <si>
    <t>NE 14 Lake</t>
  </si>
  <si>
    <t>This site is near the NE 14 Lake Slump Inlet and is different than the NE 14 site (which is out in the lake).</t>
  </si>
  <si>
    <t>NE 14 Lake Slump Inlet</t>
  </si>
  <si>
    <t>NE 14 Outlet</t>
  </si>
  <si>
    <t>NE 15</t>
  </si>
  <si>
    <t>NE15</t>
  </si>
  <si>
    <t>NE 16</t>
  </si>
  <si>
    <t>NE16</t>
  </si>
  <si>
    <t>NE 9B</t>
  </si>
  <si>
    <t>NE9B</t>
  </si>
  <si>
    <t>bedrock lake</t>
  </si>
  <si>
    <t>North Itigaknit A1</t>
  </si>
  <si>
    <t>Bacterial Survey 21</t>
  </si>
  <si>
    <t>BS21</t>
  </si>
  <si>
    <t>North Itigaknit A2</t>
  </si>
  <si>
    <t>Bacterial Survey 22</t>
  </si>
  <si>
    <t>BS22</t>
  </si>
  <si>
    <t>North Itigaknit B1</t>
  </si>
  <si>
    <t>Bacterial Survey 23</t>
  </si>
  <si>
    <t>BS23</t>
  </si>
  <si>
    <t>North Itigaknit B2</t>
  </si>
  <si>
    <t>Bacterial Survey 24</t>
  </si>
  <si>
    <t>BS24</t>
  </si>
  <si>
    <t>North Itigaknit B3</t>
  </si>
  <si>
    <t>Bacterial Survey 25</t>
  </si>
  <si>
    <t>BS25</t>
  </si>
  <si>
    <t>North Lake</t>
  </si>
  <si>
    <t>North Lake Inlet</t>
  </si>
  <si>
    <t>North Lake Outlet</t>
  </si>
  <si>
    <t>North River</t>
  </si>
  <si>
    <t>North River - mouth</t>
  </si>
  <si>
    <t>Thermokarst sampling</t>
  </si>
  <si>
    <t>North River Thermokarst</t>
  </si>
  <si>
    <t>O1</t>
  </si>
  <si>
    <t>These are lakes near Campsite Lake</t>
  </si>
  <si>
    <t>O 1</t>
  </si>
  <si>
    <t>O2</t>
  </si>
  <si>
    <t>O 2</t>
  </si>
  <si>
    <t>O3</t>
  </si>
  <si>
    <t>O 3</t>
  </si>
  <si>
    <t>Oksrukuyik Creek</t>
  </si>
  <si>
    <t>Ox</t>
  </si>
  <si>
    <t>Oxy</t>
  </si>
  <si>
    <t xml:space="preserve">Perched Lake </t>
  </si>
  <si>
    <t xml:space="preserve">Perch Lake </t>
  </si>
  <si>
    <t>Perched Lake Outlet</t>
  </si>
  <si>
    <t>Perch Lake Outlet</t>
  </si>
  <si>
    <t>Phenology Station at 2304 Tower</t>
  </si>
  <si>
    <t>Phenology Station @ 2304 Tower</t>
  </si>
  <si>
    <t xml:space="preserve">Reba Lake </t>
  </si>
  <si>
    <t>Reds Lake</t>
  </si>
  <si>
    <t>REF1</t>
  </si>
  <si>
    <t>REF2</t>
  </si>
  <si>
    <t>REF3</t>
  </si>
  <si>
    <t>Ribdon River</t>
  </si>
  <si>
    <t>Roche Moutonnee</t>
  </si>
  <si>
    <t>Mt. Roche</t>
  </si>
  <si>
    <t>Roche Moutanee</t>
  </si>
  <si>
    <t>S 01</t>
  </si>
  <si>
    <t>S 02</t>
  </si>
  <si>
    <t>S 03</t>
  </si>
  <si>
    <t>S 04</t>
  </si>
  <si>
    <t>S 05</t>
  </si>
  <si>
    <t>S5</t>
  </si>
  <si>
    <t>S 06</t>
  </si>
  <si>
    <t>S6</t>
  </si>
  <si>
    <t>S 06 Outlet</t>
  </si>
  <si>
    <t xml:space="preserve">S6 Out         </t>
  </si>
  <si>
    <t>S6Out</t>
  </si>
  <si>
    <t>S 07</t>
  </si>
  <si>
    <t>S 07 Inlet</t>
  </si>
  <si>
    <t xml:space="preserve">S7 In         </t>
  </si>
  <si>
    <t>S7In</t>
  </si>
  <si>
    <t xml:space="preserve">S 07 into S 06        </t>
  </si>
  <si>
    <t>S7 into S6</t>
  </si>
  <si>
    <t>S7-S6</t>
  </si>
  <si>
    <t>S 08</t>
  </si>
  <si>
    <t>S 09</t>
  </si>
  <si>
    <t>S 10</t>
  </si>
  <si>
    <t>S 11</t>
  </si>
  <si>
    <t>S 12</t>
  </si>
  <si>
    <t>S 13</t>
  </si>
  <si>
    <t>Sag 1</t>
  </si>
  <si>
    <t>Sag 2</t>
  </si>
  <si>
    <t>Sag C Pit</t>
  </si>
  <si>
    <t>Lake and stream survey 1988 #19</t>
  </si>
  <si>
    <t>Sagavanirktok River</t>
  </si>
  <si>
    <t>Sag R</t>
  </si>
  <si>
    <t>Sag</t>
  </si>
  <si>
    <t>Section Creek</t>
  </si>
  <si>
    <t>Severe CALM grid, NW corner</t>
  </si>
  <si>
    <t>Shainin Lake</t>
  </si>
  <si>
    <t>Shrew River</t>
  </si>
  <si>
    <t>Shrew River North</t>
  </si>
  <si>
    <t>Silhouette Lake</t>
  </si>
  <si>
    <t>South of Dead Horse</t>
  </si>
  <si>
    <t>Lake and stream survey 1988 #12</t>
  </si>
  <si>
    <t>Sitchiak Lake</t>
  </si>
  <si>
    <t>Slope Mtn. North 01</t>
  </si>
  <si>
    <t>Slope Mtn. North 02</t>
  </si>
  <si>
    <t>Slope Mtn. North 03</t>
  </si>
  <si>
    <t>Slope Mtn. North 04</t>
  </si>
  <si>
    <t>Slope Mtn. North 05</t>
  </si>
  <si>
    <t>Slope Mtn. North 06</t>
  </si>
  <si>
    <t>South River</t>
  </si>
  <si>
    <t>South Main</t>
  </si>
  <si>
    <t>South River Main</t>
  </si>
  <si>
    <t>South River Flux Star</t>
  </si>
  <si>
    <t>South River Harvest Transect</t>
  </si>
  <si>
    <t>South River Tributary</t>
  </si>
  <si>
    <t>South River Trib</t>
  </si>
  <si>
    <t>Test area 1 (Nanushuk River)</t>
  </si>
  <si>
    <t>Test area 2 (North R headwater)</t>
  </si>
  <si>
    <t>Toolik</t>
  </si>
  <si>
    <t>Toolik Lake Main Station</t>
  </si>
  <si>
    <t>TM</t>
  </si>
  <si>
    <t>Tlk</t>
  </si>
  <si>
    <t>Toolik Camp Shoal</t>
  </si>
  <si>
    <t>Surveyed by Sarah Barbrow in 2009, Kling,Cory,Nannen, and Crump in 2010.</t>
  </si>
  <si>
    <t>Toolik Lake Survey</t>
  </si>
  <si>
    <t>Toolik Central</t>
  </si>
  <si>
    <t>Toolik Dock</t>
  </si>
  <si>
    <t>Toolik Inlet</t>
  </si>
  <si>
    <t>Toolik Inlet Stream</t>
  </si>
  <si>
    <t>IS19</t>
  </si>
  <si>
    <t>Toolik Inlet Bay</t>
  </si>
  <si>
    <t>Toolik Lake Limno Corrals</t>
  </si>
  <si>
    <t>Experiments done in Limno Bay</t>
  </si>
  <si>
    <t>Toolik Limno Bay</t>
  </si>
  <si>
    <t>Western bay of Toolik where limno corral experiments were done in the 1980s</t>
  </si>
  <si>
    <t>TLB</t>
  </si>
  <si>
    <t>Toolik Bay</t>
  </si>
  <si>
    <t>Toolik Morraine</t>
  </si>
  <si>
    <t>Toolik Outlet</t>
  </si>
  <si>
    <t>Toolik Outlet Stream</t>
  </si>
  <si>
    <t>Toolik Outlet Bay</t>
  </si>
  <si>
    <t>Toolik River</t>
  </si>
  <si>
    <t>Toolik River Ice Field</t>
  </si>
  <si>
    <t>Toolik aufeis</t>
  </si>
  <si>
    <t>Toolik Rock Shoal</t>
  </si>
  <si>
    <t>Toolik Sauna Shoal</t>
  </si>
  <si>
    <t>Toolik Southwest Basin</t>
  </si>
  <si>
    <t>TW 01</t>
  </si>
  <si>
    <t>Tussock Watershed soil water sites</t>
  </si>
  <si>
    <t>TW1</t>
  </si>
  <si>
    <t>TW 02</t>
  </si>
  <si>
    <t>TW2</t>
  </si>
  <si>
    <t>TW 03</t>
  </si>
  <si>
    <t>TW3</t>
  </si>
  <si>
    <t>TW 04</t>
  </si>
  <si>
    <t>TW4</t>
  </si>
  <si>
    <t>TW 05</t>
  </si>
  <si>
    <t>TW5</t>
  </si>
  <si>
    <t>TW 06</t>
  </si>
  <si>
    <t>TW6</t>
  </si>
  <si>
    <t>TW 07</t>
  </si>
  <si>
    <t>TW7</t>
  </si>
  <si>
    <t>TW 08</t>
  </si>
  <si>
    <t>TW8</t>
  </si>
  <si>
    <t>TW 09</t>
  </si>
  <si>
    <t>TW9</t>
  </si>
  <si>
    <t>TW 10</t>
  </si>
  <si>
    <t>TW10</t>
  </si>
  <si>
    <t>TW 11</t>
  </si>
  <si>
    <t>TW11</t>
  </si>
  <si>
    <t>TW 12</t>
  </si>
  <si>
    <t>TW12</t>
  </si>
  <si>
    <t>TW 13</t>
  </si>
  <si>
    <t>TW13</t>
  </si>
  <si>
    <t>TW 14</t>
  </si>
  <si>
    <t>TW14</t>
  </si>
  <si>
    <t>TW Lower</t>
  </si>
  <si>
    <t>Tussock Watershed stream where it enters Toolik Lake</t>
  </si>
  <si>
    <t>TWLower</t>
  </si>
  <si>
    <t>TWL</t>
  </si>
  <si>
    <t>TW Weir</t>
  </si>
  <si>
    <t xml:space="preserve">Tussock watershed (TW) Weir       </t>
  </si>
  <si>
    <t>Weir</t>
  </si>
  <si>
    <t>Valley of Thermokarst</t>
  </si>
  <si>
    <t>VTK</t>
  </si>
  <si>
    <t>Valley of Thermokarst – Ref 1</t>
  </si>
  <si>
    <t>VTK1</t>
  </si>
  <si>
    <t>Valley of Thermokarst – Ref 2</t>
  </si>
  <si>
    <t>VTK2</t>
  </si>
  <si>
    <t>Watering Plots Barrel Water</t>
  </si>
  <si>
    <t>WP Barrel</t>
  </si>
  <si>
    <t>WPBarrel</t>
  </si>
  <si>
    <t>Watering Plots C1</t>
  </si>
  <si>
    <t>WP C1</t>
  </si>
  <si>
    <t>WPC1</t>
  </si>
  <si>
    <t>Watering Plots C2</t>
  </si>
  <si>
    <t>WP C2</t>
  </si>
  <si>
    <t>WPC2</t>
  </si>
  <si>
    <t>Watering Plots C3</t>
  </si>
  <si>
    <t>WP C3</t>
  </si>
  <si>
    <t>WPC3</t>
  </si>
  <si>
    <t>Watering Plots C4</t>
  </si>
  <si>
    <t>WP C4</t>
  </si>
  <si>
    <t>WPC4</t>
  </si>
  <si>
    <t>Watering Plots C5</t>
  </si>
  <si>
    <t>WP C5</t>
  </si>
  <si>
    <t>WPC5</t>
  </si>
  <si>
    <t>Watering Plots C6</t>
  </si>
  <si>
    <t>WP C6</t>
  </si>
  <si>
    <t>WPC6</t>
  </si>
  <si>
    <t>Watering Plots W1</t>
  </si>
  <si>
    <t>WP W1</t>
  </si>
  <si>
    <t>WPW1</t>
  </si>
  <si>
    <t>Watering Plots W2</t>
  </si>
  <si>
    <t>WP W2</t>
  </si>
  <si>
    <t>WPW2</t>
  </si>
  <si>
    <t>Watering Plots W3</t>
  </si>
  <si>
    <t>WP W3</t>
  </si>
  <si>
    <t>WPW3</t>
  </si>
  <si>
    <t>Watering Plots W4</t>
  </si>
  <si>
    <t>WP W4</t>
  </si>
  <si>
    <t>WPW4</t>
  </si>
  <si>
    <t>Watering Plots W5</t>
  </si>
  <si>
    <t>WP W5</t>
  </si>
  <si>
    <t>WPW5</t>
  </si>
  <si>
    <t>Watering Plots W6</t>
  </si>
  <si>
    <t>WP W6</t>
  </si>
  <si>
    <t>WPW6</t>
  </si>
  <si>
    <t>West Lake Survey  01</t>
  </si>
  <si>
    <t>West Lakes Survey 1997</t>
  </si>
  <si>
    <t>West Lake Survey  02</t>
  </si>
  <si>
    <t>West Lake Survey  03</t>
  </si>
  <si>
    <t>West Lake Survey  04</t>
  </si>
  <si>
    <t>West Lake Survey  05</t>
  </si>
  <si>
    <t>West Lake Survey  06</t>
  </si>
  <si>
    <t>West Lake Survey  07</t>
  </si>
  <si>
    <t>West Lake Survey  08</t>
  </si>
  <si>
    <t>West Lake Survey  09</t>
  </si>
  <si>
    <t>West Lake Survey  10</t>
  </si>
  <si>
    <t>West Sag Lakes  A1</t>
  </si>
  <si>
    <t>West Sag Lakes  A2</t>
  </si>
  <si>
    <t>West Sag Lakes  A3</t>
  </si>
  <si>
    <t>West Sag Lakes  B1</t>
  </si>
  <si>
    <t>West Sag Lakes  B2</t>
  </si>
  <si>
    <t>West Sag Lakes  B3</t>
  </si>
  <si>
    <t>Windy Lake</t>
  </si>
  <si>
    <t>Lake and stream survey 1988 #11</t>
  </si>
  <si>
    <t>Wolf Creek</t>
  </si>
  <si>
    <t>Oksrukuyik Creek Tributary</t>
  </si>
  <si>
    <t>Yurlake</t>
  </si>
  <si>
    <t>Yurlake into NE 14</t>
  </si>
  <si>
    <t>Yurlake into NE14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</si>
</sst>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m\-yyyy"/>
    <numFmt numFmtId="165" formatCode="0.00000"/>
    <numFmt numFmtId="166" formatCode="0.000"/>
    <numFmt numFmtId="167" formatCode="&quot;$&quot;0_);\(&quot;$&quot;0\)"/>
  </numFmts>
  <fonts count="4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b/>
      <sz val="14"/>
      <name val="Arial"/>
      <family val="2"/>
    </font>
    <font>
      <b/>
      <sz val="12"/>
      <color indexed="10"/>
      <name val="Arial"/>
      <family val="2"/>
    </font>
    <font>
      <b/>
      <sz val="10"/>
      <name val="Arial"/>
      <family val="2"/>
    </font>
    <font>
      <sz val="10"/>
      <color indexed="22"/>
      <name val="Arial"/>
      <family val="2"/>
    </font>
    <font>
      <u/>
      <sz val="10"/>
      <color indexed="12"/>
      <name val="Arial"/>
      <family val="2"/>
    </font>
    <font>
      <sz val="12"/>
      <name val="Arial"/>
      <family val="2"/>
    </font>
    <font>
      <b/>
      <sz val="9"/>
      <name val="Arial"/>
      <family val="2"/>
    </font>
    <font>
      <b/>
      <sz val="9"/>
      <color indexed="48"/>
      <name val="Arial"/>
      <family val="2"/>
    </font>
    <font>
      <b/>
      <u/>
      <sz val="10"/>
      <color indexed="10"/>
      <name val="Arial"/>
      <family val="2"/>
    </font>
    <font>
      <b/>
      <sz val="10"/>
      <color indexed="12"/>
      <name val="Arial"/>
      <family val="2"/>
    </font>
    <font>
      <sz val="10"/>
      <color indexed="10"/>
      <name val="Arial"/>
      <family val="2"/>
    </font>
    <font>
      <sz val="8"/>
      <color indexed="81"/>
      <name val="Tahoma"/>
      <family val="2"/>
    </font>
    <font>
      <b/>
      <sz val="8"/>
      <color indexed="81"/>
      <name val="Tahoma"/>
      <family val="2"/>
    </font>
    <font>
      <b/>
      <sz val="10"/>
      <color indexed="81"/>
      <name val="Tahoma"/>
      <family val="2"/>
    </font>
    <font>
      <b/>
      <sz val="8"/>
      <color indexed="10"/>
      <name val="Tahoma"/>
      <family val="2"/>
    </font>
    <font>
      <sz val="10"/>
      <color indexed="81"/>
      <name val="Tahoma"/>
      <family val="2"/>
    </font>
    <font>
      <sz val="10"/>
      <color indexed="10"/>
      <name val="Tahoma"/>
      <family val="2"/>
    </font>
    <font>
      <b/>
      <sz val="8"/>
      <color indexed="39"/>
      <name val="Tahoma"/>
      <family val="2"/>
    </font>
    <font>
      <b/>
      <sz val="9"/>
      <color indexed="81"/>
      <name val="Tahoma"/>
      <family val="2"/>
    </font>
    <font>
      <sz val="8"/>
      <color indexed="10"/>
      <name val="Tahoma"/>
      <family val="2"/>
    </font>
    <font>
      <b/>
      <sz val="8"/>
      <color indexed="12"/>
      <name val="Arial"/>
      <family val="2"/>
    </font>
    <font>
      <b/>
      <sz val="8"/>
      <color indexed="10"/>
      <name val="Arial"/>
      <family val="2"/>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66FF99"/>
        <bgColor indexed="64"/>
      </patternFill>
    </fill>
    <fill>
      <patternFill patternType="solid">
        <fgColor indexed="27"/>
        <bgColor indexed="31"/>
      </patternFill>
    </fill>
    <fill>
      <patternFill patternType="solid">
        <fgColor rgb="FFCCFFFF"/>
        <bgColor indexed="31"/>
      </patternFill>
    </fill>
    <fill>
      <patternFill patternType="solid">
        <fgColor theme="0" tint="-0.14999847407452621"/>
        <bgColor indexed="64"/>
      </patternFill>
    </fill>
    <fill>
      <patternFill patternType="solid">
        <fgColor indexed="41"/>
        <bgColor indexed="64"/>
      </patternFill>
    </fill>
    <fill>
      <patternFill patternType="solid">
        <fgColor indexed="22"/>
        <bgColor indexed="64"/>
      </patternFill>
    </fill>
    <fill>
      <patternFill patternType="solid">
        <fgColor rgb="FF00FFFF"/>
        <bgColor indexed="64"/>
      </patternFill>
    </fill>
    <fill>
      <patternFill patternType="solid">
        <fgColor rgb="FFFFFF00"/>
        <bgColor indexed="31"/>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xf numFmtId="0" fontId="23" fillId="0" borderId="0" applyNumberFormat="0" applyFill="0" applyBorder="0" applyAlignment="0" applyProtection="0">
      <alignment vertical="top"/>
      <protection locked="0"/>
    </xf>
  </cellStyleXfs>
  <cellXfs count="82">
    <xf numFmtId="0" fontId="0" fillId="0" borderId="0" xfId="0"/>
    <xf numFmtId="0" fontId="19" fillId="0" borderId="0" xfId="42" applyFont="1" applyAlignment="1">
      <alignment vertical="top"/>
    </xf>
    <xf numFmtId="0" fontId="18" fillId="0" borderId="0" xfId="42" applyAlignment="1" applyProtection="1">
      <alignment horizontal="left" wrapText="1"/>
      <protection locked="0"/>
    </xf>
    <xf numFmtId="0" fontId="20" fillId="0" borderId="0" xfId="42" applyFont="1" applyProtection="1">
      <protection locked="0"/>
    </xf>
    <xf numFmtId="0" fontId="21" fillId="0" borderId="0" xfId="42" applyFont="1" applyProtection="1">
      <protection locked="0"/>
    </xf>
    <xf numFmtId="0" fontId="18" fillId="0" borderId="0" xfId="42"/>
    <xf numFmtId="0" fontId="22" fillId="0" borderId="10" xfId="42" applyFont="1" applyBorder="1"/>
    <xf numFmtId="0" fontId="22" fillId="0" borderId="10" xfId="42" applyFont="1" applyBorder="1" applyAlignment="1">
      <alignment horizontal="left"/>
    </xf>
    <xf numFmtId="0" fontId="18" fillId="0" borderId="0" xfId="42" applyProtection="1">
      <protection locked="0"/>
    </xf>
    <xf numFmtId="0" fontId="23" fillId="0" borderId="11" xfId="43" applyFill="1" applyBorder="1" applyAlignment="1" applyProtection="1">
      <alignment horizontal="left"/>
    </xf>
    <xf numFmtId="0" fontId="22" fillId="0" borderId="12" xfId="42" applyFont="1" applyBorder="1"/>
    <xf numFmtId="0" fontId="21" fillId="33" borderId="10" xfId="42" applyFont="1" applyFill="1" applyBorder="1" applyAlignment="1">
      <alignment vertical="top"/>
    </xf>
    <xf numFmtId="0" fontId="18" fillId="0" borderId="0" xfId="42" applyAlignment="1">
      <alignment vertical="top"/>
    </xf>
    <xf numFmtId="0" fontId="18" fillId="0" borderId="0" xfId="42" applyAlignment="1" applyProtection="1">
      <alignment horizontal="left"/>
      <protection locked="0"/>
    </xf>
    <xf numFmtId="0" fontId="24" fillId="0" borderId="0" xfId="42" applyFont="1" applyProtection="1">
      <protection locked="0"/>
    </xf>
    <xf numFmtId="0" fontId="18" fillId="35" borderId="10" xfId="42" applyFill="1" applyBorder="1" applyAlignment="1" applyProtection="1">
      <alignment horizontal="left" wrapText="1"/>
      <protection locked="0"/>
    </xf>
    <xf numFmtId="0" fontId="18" fillId="0" borderId="0" xfId="42" applyAlignment="1">
      <alignment vertical="top" wrapText="1"/>
    </xf>
    <xf numFmtId="0" fontId="25" fillId="33" borderId="10" xfId="42" applyFont="1" applyFill="1" applyBorder="1" applyAlignment="1">
      <alignment vertical="top" wrapText="1"/>
    </xf>
    <xf numFmtId="0" fontId="21" fillId="33" borderId="10" xfId="42" applyFont="1" applyFill="1" applyBorder="1" applyAlignment="1">
      <alignment horizontal="left" wrapText="1"/>
    </xf>
    <xf numFmtId="49" fontId="21" fillId="36" borderId="0" xfId="42" applyNumberFormat="1" applyFont="1" applyFill="1" applyAlignment="1">
      <alignment horizontal="right" vertical="top"/>
    </xf>
    <xf numFmtId="49" fontId="18" fillId="37" borderId="10" xfId="42" applyNumberFormat="1" applyFill="1" applyBorder="1" applyAlignment="1" applyProtection="1">
      <alignment horizontal="left" wrapText="1"/>
      <protection locked="0"/>
    </xf>
    <xf numFmtId="49" fontId="18" fillId="0" borderId="0" xfId="42" applyNumberFormat="1"/>
    <xf numFmtId="0" fontId="18" fillId="0" borderId="0" xfId="42" applyAlignment="1">
      <alignment horizontal="right" vertical="top"/>
    </xf>
    <xf numFmtId="0" fontId="18" fillId="0" borderId="0" xfId="42" applyAlignment="1">
      <alignment horizontal="right" vertical="top" wrapText="1"/>
    </xf>
    <xf numFmtId="0" fontId="21" fillId="33" borderId="10" xfId="42" applyFont="1" applyFill="1" applyBorder="1" applyAlignment="1">
      <alignment vertical="top" wrapText="1"/>
    </xf>
    <xf numFmtId="0" fontId="22" fillId="0" borderId="10" xfId="42" applyFont="1" applyBorder="1" applyAlignment="1">
      <alignment horizontal="right"/>
    </xf>
    <xf numFmtId="0" fontId="21" fillId="38" borderId="0" xfId="42" applyFont="1" applyFill="1" applyAlignment="1">
      <alignment horizontal="right" vertical="top" wrapText="1"/>
    </xf>
    <xf numFmtId="0" fontId="21" fillId="38" borderId="0" xfId="42" applyFont="1" applyFill="1" applyAlignment="1">
      <alignment horizontal="right" vertical="top"/>
    </xf>
    <xf numFmtId="0" fontId="18" fillId="39" borderId="10" xfId="42" applyFill="1" applyBorder="1" applyAlignment="1" applyProtection="1">
      <alignment horizontal="center" wrapText="1"/>
      <protection locked="0"/>
    </xf>
    <xf numFmtId="0" fontId="18" fillId="34" borderId="10" xfId="42" applyFill="1" applyBorder="1" applyAlignment="1" applyProtection="1">
      <alignment horizontal="left" vertical="top" wrapText="1"/>
      <protection locked="0"/>
    </xf>
    <xf numFmtId="0" fontId="21" fillId="33" borderId="13" xfId="42" applyFont="1" applyFill="1" applyBorder="1" applyAlignment="1">
      <alignment horizontal="left" vertical="top"/>
    </xf>
    <xf numFmtId="0" fontId="21" fillId="38" borderId="0" xfId="42" applyFont="1" applyFill="1" applyAlignment="1">
      <alignment horizontal="left" vertical="top"/>
    </xf>
    <xf numFmtId="0" fontId="18" fillId="34" borderId="14" xfId="42" applyFill="1" applyBorder="1" applyAlignment="1" applyProtection="1">
      <alignment horizontal="left" wrapText="1"/>
      <protection locked="0"/>
    </xf>
    <xf numFmtId="0" fontId="18" fillId="34" borderId="15" xfId="42" applyFill="1" applyBorder="1" applyAlignment="1" applyProtection="1">
      <alignment horizontal="left" wrapText="1"/>
      <protection locked="0"/>
    </xf>
    <xf numFmtId="0" fontId="21" fillId="33" borderId="10" xfId="42" applyFont="1" applyFill="1" applyBorder="1" applyAlignment="1">
      <alignment horizontal="left" vertical="top"/>
    </xf>
    <xf numFmtId="0" fontId="18" fillId="0" borderId="10" xfId="42" applyBorder="1" applyAlignment="1" applyProtection="1">
      <alignment horizontal="left" wrapText="1"/>
      <protection locked="0"/>
    </xf>
    <xf numFmtId="0" fontId="23" fillId="34" borderId="10" xfId="43" applyFill="1" applyBorder="1" applyAlignment="1" applyProtection="1">
      <alignment horizontal="left" vertical="top" wrapText="1"/>
    </xf>
    <xf numFmtId="0" fontId="21" fillId="0" borderId="0" xfId="42" applyFont="1" applyAlignment="1">
      <alignment horizontal="right" vertical="top"/>
    </xf>
    <xf numFmtId="0" fontId="21" fillId="33" borderId="10" xfId="42" applyFont="1" applyFill="1" applyBorder="1" applyAlignment="1">
      <alignment wrapText="1"/>
    </xf>
    <xf numFmtId="0" fontId="21" fillId="38" borderId="0" xfId="42" applyFont="1" applyFill="1" applyAlignment="1">
      <alignment horizontal="right" wrapText="1"/>
    </xf>
    <xf numFmtId="0" fontId="21" fillId="38" borderId="11" xfId="42" applyFont="1" applyFill="1" applyBorder="1" applyAlignment="1">
      <alignment horizontal="right" wrapText="1"/>
    </xf>
    <xf numFmtId="0" fontId="24" fillId="0" borderId="0" xfId="42" applyFont="1"/>
    <xf numFmtId="0" fontId="18" fillId="0" borderId="0" xfId="42" applyAlignment="1" applyProtection="1">
      <alignment vertical="center"/>
      <protection locked="0"/>
    </xf>
    <xf numFmtId="0" fontId="21" fillId="33" borderId="16" xfId="42" applyFont="1" applyFill="1" applyBorder="1" applyAlignment="1">
      <alignment horizontal="left"/>
    </xf>
    <xf numFmtId="0" fontId="18" fillId="33" borderId="17" xfId="42" applyFill="1" applyBorder="1" applyAlignment="1">
      <alignment horizontal="left"/>
    </xf>
    <xf numFmtId="0" fontId="21" fillId="33" borderId="18" xfId="42" applyFont="1" applyFill="1" applyBorder="1" applyAlignment="1">
      <alignment horizontal="right" wrapText="1"/>
    </xf>
    <xf numFmtId="0" fontId="18" fillId="34" borderId="11" xfId="42" applyFill="1" applyBorder="1" applyAlignment="1" applyProtection="1">
      <alignment horizontal="left"/>
      <protection locked="0"/>
    </xf>
    <xf numFmtId="0" fontId="18" fillId="37" borderId="12" xfId="42" applyFill="1" applyBorder="1" applyProtection="1">
      <protection locked="0"/>
    </xf>
    <xf numFmtId="0" fontId="21" fillId="33" borderId="11" xfId="42" applyFont="1" applyFill="1" applyBorder="1" applyAlignment="1">
      <alignment horizontal="right"/>
    </xf>
    <xf numFmtId="0" fontId="18" fillId="34" borderId="18" xfId="42" applyFill="1" applyBorder="1" applyAlignment="1" applyProtection="1">
      <alignment horizontal="left"/>
      <protection locked="0"/>
    </xf>
    <xf numFmtId="0" fontId="18" fillId="37" borderId="19" xfId="42" applyFill="1" applyBorder="1" applyProtection="1">
      <protection locked="0"/>
    </xf>
    <xf numFmtId="0" fontId="21" fillId="0" borderId="0" xfId="42" applyFont="1" applyAlignment="1">
      <alignment horizontal="center" vertical="top"/>
    </xf>
    <xf numFmtId="0" fontId="21" fillId="33" borderId="10" xfId="42" applyFont="1" applyFill="1" applyBorder="1" applyAlignment="1">
      <alignment horizontal="right" vertical="top"/>
    </xf>
    <xf numFmtId="0" fontId="27" fillId="0" borderId="0" xfId="42" applyFont="1"/>
    <xf numFmtId="0" fontId="21" fillId="38" borderId="10" xfId="42" applyFont="1" applyFill="1" applyBorder="1" applyAlignment="1">
      <alignment vertical="center" wrapText="1"/>
    </xf>
    <xf numFmtId="0" fontId="21" fillId="38" borderId="10" xfId="42" applyFont="1" applyFill="1" applyBorder="1" applyAlignment="1">
      <alignment horizontal="left" vertical="center" wrapText="1"/>
    </xf>
    <xf numFmtId="0" fontId="21" fillId="0" borderId="0" xfId="42" applyFont="1" applyAlignment="1">
      <alignment vertical="center" wrapText="1"/>
    </xf>
    <xf numFmtId="0" fontId="28" fillId="0" borderId="0" xfId="42" applyFont="1"/>
    <xf numFmtId="0" fontId="18" fillId="0" borderId="0" xfId="42" applyAlignment="1" applyProtection="1">
      <alignment vertical="top" wrapText="1"/>
      <protection locked="0"/>
    </xf>
    <xf numFmtId="0" fontId="18" fillId="0" borderId="0" xfId="42" applyAlignment="1" applyProtection="1">
      <alignment wrapText="1"/>
      <protection locked="0"/>
    </xf>
    <xf numFmtId="0" fontId="29" fillId="0" borderId="0" xfId="42" applyFont="1"/>
    <xf numFmtId="0" fontId="18" fillId="0" borderId="0" xfId="42" applyAlignment="1">
      <alignment vertical="center" wrapText="1"/>
    </xf>
    <xf numFmtId="0" fontId="23" fillId="0" borderId="0" xfId="43" applyAlignment="1" applyProtection="1"/>
    <xf numFmtId="164" fontId="18" fillId="40" borderId="10" xfId="42" applyNumberFormat="1" applyFill="1" applyBorder="1" applyAlignment="1" applyProtection="1">
      <alignment horizontal="left" wrapText="1"/>
      <protection locked="0"/>
    </xf>
    <xf numFmtId="0" fontId="39" fillId="0" borderId="0" xfId="42" applyFont="1" applyAlignment="1">
      <alignment horizontal="center" wrapText="1"/>
    </xf>
    <xf numFmtId="0" fontId="39" fillId="0" borderId="0" xfId="42" applyFont="1" applyAlignment="1">
      <alignment wrapText="1"/>
    </xf>
    <xf numFmtId="165" fontId="39" fillId="0" borderId="0" xfId="42" applyNumberFormat="1" applyFont="1" applyAlignment="1">
      <alignment wrapText="1"/>
    </xf>
    <xf numFmtId="1" fontId="39" fillId="0" borderId="0" xfId="42" applyNumberFormat="1" applyFont="1" applyAlignment="1">
      <alignment wrapText="1"/>
    </xf>
    <xf numFmtId="0" fontId="40" fillId="0" borderId="0" xfId="42" applyFont="1" applyAlignment="1">
      <alignment horizontal="center" wrapText="1"/>
    </xf>
    <xf numFmtId="0" fontId="0" fillId="0" borderId="0" xfId="0" applyAlignment="1">
      <alignment horizontal="center"/>
    </xf>
    <xf numFmtId="0" fontId="0" fillId="0" borderId="0" xfId="0" applyAlignment="1">
      <alignment horizontal="left"/>
    </xf>
    <xf numFmtId="166" fontId="0" fillId="0" borderId="0" xfId="0" applyNumberFormat="1" applyAlignment="1">
      <alignment horizontal="center"/>
    </xf>
    <xf numFmtId="164" fontId="0" fillId="0" borderId="0" xfId="0" applyNumberFormat="1"/>
    <xf numFmtId="167" fontId="0" fillId="0" borderId="0" xfId="0" applyNumberFormat="1" applyAlignment="1" applyProtection="1">
      <alignment horizontal="left" vertical="top"/>
      <protection locked="0"/>
    </xf>
    <xf numFmtId="166" fontId="0" fillId="0" borderId="0" xfId="0" applyNumberFormat="1"/>
    <xf numFmtId="49" fontId="23" fillId="37" borderId="10" xfId="43" applyNumberFormat="1" applyFill="1" applyBorder="1" applyAlignment="1" applyProtection="1">
      <alignment horizontal="left" wrapText="1"/>
      <protection locked="0"/>
    </xf>
    <xf numFmtId="0" fontId="21" fillId="0" borderId="0" xfId="42" applyFont="1" applyAlignment="1" applyProtection="1">
      <alignment horizontal="left" wrapText="1"/>
      <protection locked="0"/>
    </xf>
    <xf numFmtId="0" fontId="18" fillId="0" borderId="0" xfId="42"/>
    <xf numFmtId="0" fontId="18" fillId="34" borderId="11" xfId="42" applyFill="1" applyBorder="1" applyAlignment="1" applyProtection="1">
      <alignment horizontal="left" wrapText="1"/>
      <protection locked="0"/>
    </xf>
    <xf numFmtId="0" fontId="21" fillId="0" borderId="0" xfId="42" applyFont="1" applyAlignment="1" applyProtection="1">
      <alignment horizontal="left" wrapText="1"/>
      <protection locked="0"/>
    </xf>
    <xf numFmtId="0" fontId="18" fillId="0" borderId="12" xfId="42" applyBorder="1" applyAlignment="1"/>
    <xf numFmtId="0" fontId="18" fillId="0" borderId="0" xfId="42" applyAlignmen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3" builtinId="8"/>
    <cellStyle name="Input" xfId="9" builtinId="20" customBuiltin="1"/>
    <cellStyle name="Linked Cell" xfId="12" builtinId="24" customBuiltin="1"/>
    <cellStyle name="Neutral" xfId="8" builtinId="28" customBuiltin="1"/>
    <cellStyle name="Normal" xfId="0" builtinId="0"/>
    <cellStyle name="Normal 2" xfId="42" xr:uid="{00000000-0005-0000-0000-000026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font>
        <condense val="0"/>
        <extend val="0"/>
        <color auto="1"/>
      </font>
      <fill>
        <patternFill>
          <bgColor indexed="26"/>
        </patternFill>
      </fill>
      <border>
        <left style="thin">
          <color indexed="8"/>
        </left>
        <right style="thin">
          <color indexed="8"/>
        </right>
        <top style="thin">
          <color indexed="8"/>
        </top>
        <bottom style="thin">
          <color indexed="8"/>
        </bottom>
      </border>
    </dxf>
    <dxf>
      <fill>
        <patternFill patternType="darkGrid">
          <fgColor indexed="22"/>
        </patternFill>
      </fill>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patternType="darkGrid">
          <fgColor indexed="22"/>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patternType="darkGrid">
          <fgColor indexed="22"/>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border>
        <left style="thin">
          <color rgb="FFC00000"/>
        </left>
        <right style="thin">
          <color rgb="FFC00000"/>
        </right>
        <top style="thin">
          <color rgb="FFC00000"/>
        </top>
        <bottom style="thin">
          <color rgb="FFC00000"/>
        </bottom>
      </border>
    </dxf>
    <dxf>
      <border>
        <left style="thin">
          <color rgb="FFC00000"/>
        </left>
        <right style="thin">
          <color rgb="FFC00000"/>
        </right>
        <top style="thin">
          <color rgb="FFC00000"/>
        </top>
        <bottom style="thin">
          <color rgb="FFC00000"/>
        </bottom>
      </border>
    </dxf>
    <dxf>
      <fill>
        <patternFill>
          <bgColor indexed="41"/>
        </patternFill>
      </fill>
      <border>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drawing1.xml><?xml version="1.0" encoding="utf-8"?>
<xdr:wsDr xmlns:xdr="http://schemas.openxmlformats.org/drawingml/2006/spreadsheetDrawing" xmlns:a="http://schemas.openxmlformats.org/drawingml/2006/main">
  <xdr:twoCellAnchor>
    <xdr:from>
      <xdr:col>1</xdr:col>
      <xdr:colOff>0</xdr:colOff>
      <xdr:row>6</xdr:row>
      <xdr:rowOff>0</xdr:rowOff>
    </xdr:from>
    <xdr:to>
      <xdr:col>4</xdr:col>
      <xdr:colOff>3965</xdr:colOff>
      <xdr:row>11</xdr:row>
      <xdr:rowOff>19843</xdr:rowOff>
    </xdr:to>
    <xdr:sp macro="" textlink="">
      <xdr:nvSpPr>
        <xdr:cNvPr id="2" name="abstract" descr="Abstract of dsatset">
          <a:extLst>
            <a:ext uri="{FF2B5EF4-FFF2-40B4-BE49-F238E27FC236}">
              <a16:creationId xmlns:a16="http://schemas.microsoft.com/office/drawing/2014/main" id="{00000000-0008-0000-0000-000002000000}"/>
            </a:ext>
          </a:extLst>
        </xdr:cNvPr>
        <xdr:cNvSpPr txBox="1">
          <a:spLocks noChangeArrowheads="1"/>
        </xdr:cNvSpPr>
      </xdr:nvSpPr>
      <xdr:spPr bwMode="auto">
        <a:xfrm>
          <a:off x="1743075" y="1323975"/>
          <a:ext cx="7166765" cy="829468"/>
        </a:xfrm>
        <a:prstGeom prst="rect">
          <a:avLst/>
        </a:prstGeom>
        <a:solidFill>
          <a:srgbClr val="CCFFFF"/>
        </a:solidFill>
        <a:ln w="9525">
          <a:solidFill>
            <a:srgbClr val="000000"/>
          </a:solidFill>
          <a:miter lim="800000"/>
          <a:headEnd/>
          <a:tailEnd/>
        </a:ln>
      </xdr:spPr>
      <xdr:txBody>
        <a:bodyPr/>
        <a:lstStyle/>
        <a:p>
          <a:r>
            <a:rPr lang="en-US"/>
            <a:t>Above ground plant and belowground stem biomass was measured in moist acidic tussock tundra experimental sites established</a:t>
          </a:r>
          <a:r>
            <a:rPr lang="en-US" baseline="0"/>
            <a:t> in 2006</a:t>
          </a:r>
          <a:r>
            <a:rPr lang="en-US"/>
            <a:t>. Treatments</a:t>
          </a:r>
          <a:r>
            <a:rPr lang="en-US" baseline="0"/>
            <a:t> </a:t>
          </a:r>
          <a:r>
            <a:rPr lang="en-US"/>
            <a:t>sampled were control plots and plots amended with three different levels</a:t>
          </a:r>
          <a:r>
            <a:rPr lang="en-US" baseline="0"/>
            <a:t> of </a:t>
          </a:r>
          <a:r>
            <a:rPr lang="en-US"/>
            <a:t>nitrogen and phosphorus.  </a:t>
          </a:r>
        </a:p>
      </xdr:txBody>
    </xdr:sp>
    <xdr:clientData fLocksWithSheet="0"/>
  </xdr:twoCellAnchor>
  <xdr:twoCellAnchor>
    <xdr:from>
      <xdr:col>1</xdr:col>
      <xdr:colOff>30480</xdr:colOff>
      <xdr:row>73</xdr:row>
      <xdr:rowOff>17145</xdr:rowOff>
    </xdr:from>
    <xdr:to>
      <xdr:col>6</xdr:col>
      <xdr:colOff>817247</xdr:colOff>
      <xdr:row>114</xdr:row>
      <xdr:rowOff>6</xdr:rowOff>
    </xdr:to>
    <xdr:sp macro="" textlink="">
      <xdr:nvSpPr>
        <xdr:cNvPr id="3" name="method">
          <a:extLst>
            <a:ext uri="{FF2B5EF4-FFF2-40B4-BE49-F238E27FC236}">
              <a16:creationId xmlns:a16="http://schemas.microsoft.com/office/drawing/2014/main" id="{00000000-0008-0000-0000-000003000000}"/>
            </a:ext>
          </a:extLst>
        </xdr:cNvPr>
        <xdr:cNvSpPr txBox="1">
          <a:spLocks noChangeArrowheads="1"/>
        </xdr:cNvSpPr>
      </xdr:nvSpPr>
      <xdr:spPr bwMode="auto">
        <a:xfrm>
          <a:off x="1773555" y="17914620"/>
          <a:ext cx="12045317" cy="6650361"/>
        </a:xfrm>
        <a:prstGeom prst="rect">
          <a:avLst/>
        </a:prstGeom>
        <a:solidFill>
          <a:srgbClr val="FFFFFF"/>
        </a:solidFill>
        <a:ln w="9525">
          <a:solidFill>
            <a:srgbClr val="000000"/>
          </a:solidFill>
          <a:miter lim="800000"/>
          <a:headEnd/>
          <a:tailEnd/>
        </a:ln>
      </xdr:spPr>
      <xdr:txBody>
        <a:bodyPr/>
        <a:lstStyle/>
        <a:p>
          <a:pPr rtl="0"/>
          <a:r>
            <a:rPr lang="en-US" sz="1100">
              <a:effectLst/>
              <a:latin typeface="+mn-lt"/>
              <a:ea typeface="+mn-ea"/>
              <a:cs typeface="+mn-cs"/>
            </a:rPr>
            <a:t> </a:t>
          </a:r>
          <a:r>
            <a:rPr lang="en-US" sz="1100" b="1">
              <a:effectLst/>
              <a:latin typeface="+mn-lt"/>
              <a:ea typeface="+mn-ea"/>
              <a:cs typeface="+mn-cs"/>
            </a:rPr>
            <a:t>Experimental design:</a:t>
          </a:r>
        </a:p>
        <a:p>
          <a:pPr rtl="0"/>
          <a:endParaRPr lang="en-US">
            <a:effectLst/>
          </a:endParaRPr>
        </a:p>
        <a:p>
          <a:r>
            <a:rPr lang="en-US" sz="1100">
              <a:effectLst/>
              <a:latin typeface="+mn-lt"/>
              <a:ea typeface="+mn-ea"/>
              <a:cs typeface="+mn-cs"/>
            </a:rPr>
            <a:t>The 2006 LTER moist acidic tussock (06LMAT) site was set up in 2006.  The experimental design is four blocks of 5 x 20 meter plots with randomly assigned treatments within each block. Each plot is separated by a 2 meter walkway. </a:t>
          </a:r>
        </a:p>
        <a:p>
          <a:r>
            <a:rPr lang="en-US"/>
            <a:t>These plots received annual fertilization </a:t>
          </a:r>
          <a:r>
            <a:rPr lang="en-US" baseline="0"/>
            <a:t>(the first week of June)</a:t>
          </a:r>
          <a:r>
            <a:rPr lang="en-US"/>
            <a:t> with the following plot abbreviations</a:t>
          </a:r>
          <a:r>
            <a:rPr lang="en-US" baseline="0"/>
            <a:t> and treatment amounts. (Note that </a:t>
          </a:r>
          <a:r>
            <a:rPr lang="en-US" sz="1100" baseline="0">
              <a:effectLst/>
              <a:latin typeface="+mn-lt"/>
              <a:ea typeface="+mn-ea"/>
              <a:cs typeface="+mn-cs"/>
            </a:rPr>
            <a:t>Nitrogen was applied as NH4NO3 from 2006 -2011.  From 2012 to present nitrogen was added half as </a:t>
          </a:r>
          <a:r>
            <a:rPr lang="en-US" sz="1100">
              <a:effectLst/>
              <a:latin typeface="+mn-lt"/>
              <a:ea typeface="+mn-ea"/>
              <a:cs typeface="+mn-cs"/>
            </a:rPr>
            <a:t>NH4Cl and half as NaNO3.  The exception</a:t>
          </a:r>
          <a:r>
            <a:rPr lang="en-US" sz="1100" baseline="0">
              <a:effectLst/>
              <a:latin typeface="+mn-lt"/>
              <a:ea typeface="+mn-ea"/>
              <a:cs typeface="+mn-cs"/>
            </a:rPr>
            <a:t> being the NH4 alone and NO3 alone where NH4CL and NaNO3</a:t>
          </a:r>
          <a:r>
            <a:rPr lang="en-US" baseline="0"/>
            <a:t> has been used since 2006.)</a:t>
          </a:r>
        </a:p>
        <a:p>
          <a:endParaRPr lang="en-US" baseline="0"/>
        </a:p>
        <a:p>
          <a:r>
            <a:rPr lang="en-US" baseline="0"/>
            <a:t>	F10 (</a:t>
          </a:r>
          <a:r>
            <a:rPr lang="en-US"/>
            <a:t>10 g/m2 Nitrogen and 5 g/m2 Phosphorous (as triple superphosphate))</a:t>
          </a:r>
        </a:p>
        <a:p>
          <a:r>
            <a:rPr lang="en-US"/>
            <a:t>	F5 (5 g/m2 N and 2.5</a:t>
          </a:r>
          <a:r>
            <a:rPr lang="en-US" baseline="0"/>
            <a:t> g/m2 P)</a:t>
          </a:r>
        </a:p>
        <a:p>
          <a:r>
            <a:rPr lang="en-US" baseline="0"/>
            <a:t>	F2 (2 g/m2 N and 1 g/m2 P)</a:t>
          </a:r>
          <a:r>
            <a:rPr lang="en-US"/>
            <a:t>.</a:t>
          </a:r>
          <a:r>
            <a:rPr lang="en-US" baseline="0"/>
            <a:t> </a:t>
          </a:r>
        </a:p>
        <a:p>
          <a:r>
            <a:rPr lang="en-US" baseline="0"/>
            <a:t>	F1 (1</a:t>
          </a:r>
          <a:r>
            <a:rPr lang="en-US" sz="1100" baseline="0">
              <a:effectLst/>
              <a:latin typeface="+mn-lt"/>
              <a:ea typeface="+mn-ea"/>
              <a:cs typeface="+mn-cs"/>
            </a:rPr>
            <a:t> g/m2 N and 0.5 g/m2 P)</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effectLst/>
              <a:latin typeface="+mn-lt"/>
              <a:ea typeface="+mn-ea"/>
              <a:cs typeface="+mn-cs"/>
            </a:rPr>
            <a:t>	F.5 (.5 g/m2 N and 0.25 g/m2 P)</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effectLst/>
              <a:latin typeface="+mn-lt"/>
              <a:ea typeface="+mn-ea"/>
              <a:cs typeface="+mn-cs"/>
            </a:rPr>
            <a:t>	NH4 </a:t>
          </a:r>
          <a:r>
            <a:rPr lang="en-US" sz="1100">
              <a:effectLst/>
              <a:latin typeface="+mn-lt"/>
              <a:ea typeface="+mn-ea"/>
              <a:cs typeface="+mn-cs"/>
            </a:rPr>
            <a:t>(5 g/m2 N and 2.5</a:t>
          </a:r>
          <a:r>
            <a:rPr lang="en-US" sz="1100" baseline="0">
              <a:effectLst/>
              <a:latin typeface="+mn-lt"/>
              <a:ea typeface="+mn-ea"/>
              <a:cs typeface="+mn-cs"/>
            </a:rPr>
            <a:t> g/m2 P)</a:t>
          </a: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baseline="0"/>
            <a:t>	NO3 </a:t>
          </a:r>
          <a:r>
            <a:rPr lang="en-US" sz="1100">
              <a:effectLst/>
              <a:latin typeface="+mn-lt"/>
              <a:ea typeface="+mn-ea"/>
              <a:cs typeface="+mn-cs"/>
            </a:rPr>
            <a:t>(5 g/m2 N and 2.5</a:t>
          </a:r>
          <a:r>
            <a:rPr lang="en-US" sz="1100" baseline="0">
              <a:effectLst/>
              <a:latin typeface="+mn-lt"/>
              <a:ea typeface="+mn-ea"/>
              <a:cs typeface="+mn-cs"/>
            </a:rPr>
            <a:t> g/m2 P)</a:t>
          </a:r>
          <a:endParaRPr lang="en-US">
            <a:effectLst/>
          </a:endParaRPr>
        </a:p>
        <a:p>
          <a:endParaRPr lang="en-US" baseline="0"/>
        </a:p>
        <a:p>
          <a:pPr marL="0" marR="0" lvl="0" indent="0" defTabSz="914400" eaLnBrk="1" fontAlgn="auto" latinLnBrk="0" hangingPunct="1">
            <a:lnSpc>
              <a:spcPct val="100000"/>
            </a:lnSpc>
            <a:spcBef>
              <a:spcPts val="0"/>
            </a:spcBef>
            <a:spcAft>
              <a:spcPts val="0"/>
            </a:spcAft>
            <a:buClrTx/>
            <a:buSzTx/>
            <a:buFontTx/>
            <a:buNone/>
            <a:tabLst/>
            <a:defRPr/>
          </a:pPr>
          <a:r>
            <a:rPr lang="en-US" b="1"/>
            <a:t>Sampling Description:</a:t>
          </a:r>
        </a:p>
        <a:p>
          <a:pPr marL="0" marR="0" lvl="0" indent="0" defTabSz="914400" eaLnBrk="1" fontAlgn="auto" latinLnBrk="0" hangingPunct="1">
            <a:lnSpc>
              <a:spcPct val="100000"/>
            </a:lnSpc>
            <a:spcBef>
              <a:spcPts val="0"/>
            </a:spcBef>
            <a:spcAft>
              <a:spcPts val="0"/>
            </a:spcAft>
            <a:buClrTx/>
            <a:buSzTx/>
            <a:buFontTx/>
            <a:buNone/>
            <a:tabLst/>
            <a:defRPr/>
          </a:pPr>
          <a:r>
            <a:rPr lang="en-US"/>
            <a:t>
</a:t>
          </a:r>
          <a:r>
            <a:rPr lang="en-US" sz="1100" baseline="0">
              <a:effectLst/>
              <a:latin typeface="+mn-lt"/>
              <a:ea typeface="+mn-ea"/>
              <a:cs typeface="+mn-cs"/>
            </a:rPr>
            <a:t>In this harvest only plots from Blocks 1-3 were harvested.</a:t>
          </a:r>
          <a:endParaRPr lang="en-US">
            <a:effectLst/>
          </a:endParaRPr>
        </a:p>
        <a:p>
          <a:r>
            <a:rPr lang="en-US"/>
            <a:t>
Biomass quadrats, size 10x40 cm, were taken from each site. Four quadrats were randomly located along line transects in each of the replicate blocks of each treatment. Aboveground biomass is considered "within" the quadrat if it is associated with a meristem that is within the quadrat. Quadrats were sorted within 24 hours into species and then into tissue type. The samples were dried at 50-70 degrees C in a drying oven and after several days weighed to nearest milligram. Details are given in Shaver and Chapin (Ecological Monographs, 61(1), 1991, pg. 1-31.)  </a:t>
          </a:r>
        </a:p>
        <a:p>
          <a:endParaRPr lang="en-US"/>
        </a:p>
        <a:p>
          <a:r>
            <a:rPr lang="en-US" sz="1100">
              <a:effectLst/>
              <a:latin typeface="+mn-lt"/>
              <a:ea typeface="+mn-ea"/>
              <a:cs typeface="+mn-cs"/>
            </a:rPr>
            <a:t>Notes: Cassiope tetragona was not separated into leaves and stems prior to drying and weighing; “new stems” includes new leaves and “old stems” includes old leaves.</a:t>
          </a:r>
          <a:br>
            <a:rPr lang="en-US" sz="1100">
              <a:effectLst/>
              <a:latin typeface="+mn-lt"/>
              <a:ea typeface="+mn-ea"/>
              <a:cs typeface="+mn-cs"/>
            </a:rPr>
          </a:br>
          <a:r>
            <a:rPr lang="en-US" sz="1100">
              <a:effectLst/>
              <a:latin typeface="+mn-lt"/>
              <a:ea typeface="+mn-ea"/>
              <a:cs typeface="+mn-cs"/>
            </a:rPr>
            <a:t> </a:t>
          </a:r>
          <a:br>
            <a:rPr lang="en-US" sz="1100">
              <a:effectLst/>
              <a:latin typeface="+mn-lt"/>
              <a:ea typeface="+mn-ea"/>
              <a:cs typeface="+mn-cs"/>
            </a:rPr>
          </a:br>
          <a:r>
            <a:rPr lang="en-US" sz="1100" b="1">
              <a:effectLst/>
              <a:latin typeface="+mn-lt"/>
              <a:ea typeface="+mn-ea"/>
              <a:cs typeface="+mn-cs"/>
            </a:rPr>
            <a:t>Calculations:</a:t>
          </a:r>
          <a:r>
            <a:rPr lang="en-US" sz="1100">
              <a:effectLst/>
              <a:latin typeface="+mn-lt"/>
              <a:ea typeface="+mn-ea"/>
              <a:cs typeface="+mn-cs"/>
            </a:rPr>
            <a:t> Tissue mass data are expressed in g/quadrat (400 cm2). Multiply by 25 to get g/m2.</a:t>
          </a:r>
          <a:endParaRPr lang="en-US"/>
        </a:p>
      </xdr:txBody>
    </xdr:sp>
    <xdr:clientData fLocksWithSheet="0"/>
  </xdr:twoCellAnchor>
  <xdr:twoCellAnchor>
    <xdr:from>
      <xdr:col>1</xdr:col>
      <xdr:colOff>19050</xdr:colOff>
      <xdr:row>119</xdr:row>
      <xdr:rowOff>152400</xdr:rowOff>
    </xdr:from>
    <xdr:to>
      <xdr:col>3</xdr:col>
      <xdr:colOff>2076450</xdr:colOff>
      <xdr:row>126</xdr:row>
      <xdr:rowOff>19050</xdr:rowOff>
    </xdr:to>
    <xdr:sp macro="" textlink="">
      <xdr:nvSpPr>
        <xdr:cNvPr id="4" name="protocol1">
          <a:extLst>
            <a:ext uri="{FF2B5EF4-FFF2-40B4-BE49-F238E27FC236}">
              <a16:creationId xmlns:a16="http://schemas.microsoft.com/office/drawing/2014/main" id="{00000000-0008-0000-0000-000004000000}"/>
            </a:ext>
          </a:extLst>
        </xdr:cNvPr>
        <xdr:cNvSpPr txBox="1">
          <a:spLocks noChangeArrowheads="1"/>
        </xdr:cNvSpPr>
      </xdr:nvSpPr>
      <xdr:spPr bwMode="auto">
        <a:xfrm>
          <a:off x="1762125" y="25546050"/>
          <a:ext cx="7143750" cy="1000125"/>
        </a:xfrm>
        <a:prstGeom prst="rect">
          <a:avLst/>
        </a:prstGeom>
        <a:solidFill>
          <a:srgbClr val="FFFFFF"/>
        </a:solidFill>
        <a:ln w="9525">
          <a:solidFill>
            <a:srgbClr val="000000"/>
          </a:solidFill>
          <a:miter lim="800000"/>
          <a:headEnd/>
          <a:tailEnd/>
        </a:ln>
      </xdr:spPr>
      <xdr:txBody>
        <a:bodyPr/>
        <a:lstStyle/>
        <a:p>
          <a:r>
            <a:rPr lang="en-US"/>
            <a:t>  </a:t>
          </a:r>
        </a:p>
      </xdr:txBody>
    </xdr:sp>
    <xdr:clientData fLocksWithSheet="0"/>
  </xdr:twoCellAnchor>
  <xdr:twoCellAnchor>
    <xdr:from>
      <xdr:col>0</xdr:col>
      <xdr:colOff>60960</xdr:colOff>
      <xdr:row>6</xdr:row>
      <xdr:rowOff>38099</xdr:rowOff>
    </xdr:from>
    <xdr:to>
      <xdr:col>0</xdr:col>
      <xdr:colOff>1590790</xdr:colOff>
      <xdr:row>10</xdr:row>
      <xdr:rowOff>89296</xdr:rowOff>
    </xdr:to>
    <xdr:sp macro="" textlink="">
      <xdr:nvSpPr>
        <xdr:cNvPr id="5" name="Note1">
          <a:extLst>
            <a:ext uri="{FF2B5EF4-FFF2-40B4-BE49-F238E27FC236}">
              <a16:creationId xmlns:a16="http://schemas.microsoft.com/office/drawing/2014/main" id="{00000000-0008-0000-0000-000005000000}"/>
            </a:ext>
          </a:extLst>
        </xdr:cNvPr>
        <xdr:cNvSpPr txBox="1"/>
      </xdr:nvSpPr>
      <xdr:spPr>
        <a:xfrm>
          <a:off x="60960" y="1362074"/>
          <a:ext cx="1529830" cy="69889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900"/>
            </a:lnSpc>
          </a:pPr>
          <a:r>
            <a:rPr lang="en-US" sz="900">
              <a:latin typeface="Arial" pitchFamily="34" charset="0"/>
              <a:cs typeface="Arial" pitchFamily="34" charset="0"/>
            </a:rPr>
            <a:t>Note:</a:t>
          </a:r>
          <a:r>
            <a:rPr lang="en-US" sz="900" baseline="0">
              <a:latin typeface="Arial" pitchFamily="34" charset="0"/>
              <a:cs typeface="Arial" pitchFamily="34" charset="0"/>
            </a:rPr>
            <a:t> cells with a small red triangle in the upper right corner have comments about entering metadata.</a:t>
          </a:r>
          <a:endParaRPr lang="en-US" sz="900">
            <a:latin typeface="Arial" pitchFamily="34" charset="0"/>
            <a:cs typeface="Arial" pitchFamily="34" charset="0"/>
          </a:endParaRPr>
        </a:p>
      </xdr:txBody>
    </xdr:sp>
    <xdr:clientData/>
  </xdr:twoCellAnchor>
  <xdr:twoCellAnchor>
    <xdr:from>
      <xdr:col>0</xdr:col>
      <xdr:colOff>15240</xdr:colOff>
      <xdr:row>74</xdr:row>
      <xdr:rowOff>121920</xdr:rowOff>
    </xdr:from>
    <xdr:to>
      <xdr:col>0</xdr:col>
      <xdr:colOff>1727751</xdr:colOff>
      <xdr:row>88</xdr:row>
      <xdr:rowOff>61622</xdr:rowOff>
    </xdr:to>
    <xdr:sp macro="" textlink="">
      <xdr:nvSpPr>
        <xdr:cNvPr id="6" name="Note2">
          <a:extLst>
            <a:ext uri="{FF2B5EF4-FFF2-40B4-BE49-F238E27FC236}">
              <a16:creationId xmlns:a16="http://schemas.microsoft.com/office/drawing/2014/main" id="{00000000-0008-0000-0000-000006000000}"/>
            </a:ext>
          </a:extLst>
        </xdr:cNvPr>
        <xdr:cNvSpPr txBox="1"/>
      </xdr:nvSpPr>
      <xdr:spPr>
        <a:xfrm>
          <a:off x="15240" y="18209895"/>
          <a:ext cx="1712511" cy="22066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latin typeface="Arial" pitchFamily="34" charset="0"/>
              <a:cs typeface="Arial" pitchFamily="34" charset="0"/>
            </a:rPr>
            <a:t>The Methods description  should be fairly detailed and include any literature references (including author, title, journal and page </a:t>
          </a:r>
        </a:p>
        <a:p>
          <a:r>
            <a:rPr lang="en-US" sz="900">
              <a:latin typeface="Arial" pitchFamily="34" charset="0"/>
              <a:cs typeface="Arial" pitchFamily="34" charset="0"/>
            </a:rPr>
            <a:t>numbers) pertaining to the methods</a:t>
          </a:r>
          <a:r>
            <a:rPr lang="en-US" sz="900" baseline="0">
              <a:latin typeface="Arial" pitchFamily="34" charset="0"/>
              <a:cs typeface="Arial" pitchFamily="34" charset="0"/>
            </a:rPr>
            <a:t> or research.</a:t>
          </a:r>
          <a:r>
            <a:rPr lang="en-US" sz="900">
              <a:latin typeface="Arial" pitchFamily="34" charset="0"/>
              <a:cs typeface="Arial" pitchFamily="34" charset="0"/>
            </a:rPr>
            <a:t> </a:t>
          </a:r>
        </a:p>
        <a:p>
          <a:endParaRPr lang="en-US" sz="900">
            <a:latin typeface="Arial" pitchFamily="34" charset="0"/>
            <a:cs typeface="Arial" pitchFamily="34" charset="0"/>
          </a:endParaRPr>
        </a:p>
        <a:p>
          <a:r>
            <a:rPr lang="en-US" sz="900">
              <a:latin typeface="Arial" pitchFamily="34" charset="0"/>
              <a:cs typeface="Arial" pitchFamily="34" charset="0"/>
            </a:rPr>
            <a:t>Include a Notes  section to detail a timeline of changes or</a:t>
          </a:r>
          <a:r>
            <a:rPr lang="en-US" sz="900" baseline="0">
              <a:latin typeface="Arial" pitchFamily="34" charset="0"/>
              <a:cs typeface="Arial" pitchFamily="34" charset="0"/>
            </a:rPr>
            <a:t> problems with the data </a:t>
          </a:r>
          <a:r>
            <a:rPr lang="en-US" sz="900">
              <a:latin typeface="Arial" pitchFamily="34" charset="0"/>
              <a:cs typeface="Arial" pitchFamily="34" charset="0"/>
            </a:rPr>
            <a:t>.  </a:t>
          </a:r>
        </a:p>
        <a:p>
          <a:r>
            <a:rPr lang="en-US" sz="900">
              <a:latin typeface="Arial" pitchFamily="34" charset="0"/>
              <a:cs typeface="Arial" pitchFamily="34" charset="0"/>
            </a:rPr>
            <a:t>Click on the box to paste or type the needed information. </a:t>
          </a:r>
        </a:p>
        <a:p>
          <a:endParaRPr lang="en-US" sz="900">
            <a:latin typeface="Arial" pitchFamily="34" charset="0"/>
            <a:cs typeface="Arial" pitchFamily="34" charset="0"/>
          </a:endParaRPr>
        </a:p>
        <a:p>
          <a:r>
            <a:rPr lang="en-US" sz="900">
              <a:latin typeface="Arial" pitchFamily="34" charset="0"/>
              <a:cs typeface="Arial" pitchFamily="34" charset="0"/>
            </a:rPr>
            <a:t>If</a:t>
          </a:r>
          <a:r>
            <a:rPr lang="en-US" sz="900" baseline="0">
              <a:latin typeface="Arial" pitchFamily="34" charset="0"/>
              <a:cs typeface="Arial" pitchFamily="34" charset="0"/>
            </a:rPr>
            <a:t> needed insert more row to make text box longer.</a:t>
          </a:r>
          <a:endParaRPr lang="en-US" sz="900">
            <a:latin typeface="Arial" pitchFamily="34" charset="0"/>
            <a:cs typeface="Arial" pitchFamily="34" charset="0"/>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mpark13\Downloads\2001lgshttbm%20(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tadata"/>
      <sheetName val="2001lgshttbm"/>
      <sheetName val="Sites(Do NOT Edit)"/>
    </sheetNames>
    <sheetDataSet>
      <sheetData sheetId="0"/>
      <sheetData sheetId="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lgough@towson.edu" TargetMode="External"/><Relationship Id="rId1" Type="http://schemas.openxmlformats.org/officeDocument/2006/relationships/hyperlink" Target="http://arc-lter.ecosystems.mbl.edu/sites/default/files/data/terrestrial/2001lgshttbm.csv"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53"/>
  <sheetViews>
    <sheetView topLeftCell="A137" zoomScale="96" zoomScaleNormal="96" workbookViewId="0">
      <selection activeCell="B17" sqref="B17"/>
    </sheetView>
  </sheetViews>
  <sheetFormatPr defaultColWidth="8.85546875" defaultRowHeight="13.15"/>
  <cols>
    <col min="1" max="1" width="26.140625" style="12" customWidth="1"/>
    <col min="2" max="2" width="46" style="2" bestFit="1" customWidth="1"/>
    <col min="3" max="4" width="30.7109375" style="8" customWidth="1"/>
    <col min="5" max="9" width="30.7109375" style="5" customWidth="1"/>
    <col min="10" max="256" width="8.85546875" style="5"/>
    <col min="257" max="257" width="26.140625" style="5" customWidth="1"/>
    <col min="258" max="258" width="46" style="5" bestFit="1" customWidth="1"/>
    <col min="259" max="265" width="30.7109375" style="5" customWidth="1"/>
    <col min="266" max="512" width="8.85546875" style="5"/>
    <col min="513" max="513" width="26.140625" style="5" customWidth="1"/>
    <col min="514" max="514" width="46" style="5" bestFit="1" customWidth="1"/>
    <col min="515" max="521" width="30.7109375" style="5" customWidth="1"/>
    <col min="522" max="768" width="8.85546875" style="5"/>
    <col min="769" max="769" width="26.140625" style="5" customWidth="1"/>
    <col min="770" max="770" width="46" style="5" bestFit="1" customWidth="1"/>
    <col min="771" max="777" width="30.7109375" style="5" customWidth="1"/>
    <col min="778" max="1024" width="8.85546875" style="5"/>
    <col min="1025" max="1025" width="26.140625" style="5" customWidth="1"/>
    <col min="1026" max="1026" width="46" style="5" bestFit="1" customWidth="1"/>
    <col min="1027" max="1033" width="30.7109375" style="5" customWidth="1"/>
    <col min="1034" max="1280" width="8.85546875" style="5"/>
    <col min="1281" max="1281" width="26.140625" style="5" customWidth="1"/>
    <col min="1282" max="1282" width="46" style="5" bestFit="1" customWidth="1"/>
    <col min="1283" max="1289" width="30.7109375" style="5" customWidth="1"/>
    <col min="1290" max="1536" width="8.85546875" style="5"/>
    <col min="1537" max="1537" width="26.140625" style="5" customWidth="1"/>
    <col min="1538" max="1538" width="46" style="5" bestFit="1" customWidth="1"/>
    <col min="1539" max="1545" width="30.7109375" style="5" customWidth="1"/>
    <col min="1546" max="1792" width="8.85546875" style="5"/>
    <col min="1793" max="1793" width="26.140625" style="5" customWidth="1"/>
    <col min="1794" max="1794" width="46" style="5" bestFit="1" customWidth="1"/>
    <col min="1795" max="1801" width="30.7109375" style="5" customWidth="1"/>
    <col min="1802" max="2048" width="8.85546875" style="5"/>
    <col min="2049" max="2049" width="26.140625" style="5" customWidth="1"/>
    <col min="2050" max="2050" width="46" style="5" bestFit="1" customWidth="1"/>
    <col min="2051" max="2057" width="30.7109375" style="5" customWidth="1"/>
    <col min="2058" max="2304" width="8.85546875" style="5"/>
    <col min="2305" max="2305" width="26.140625" style="5" customWidth="1"/>
    <col min="2306" max="2306" width="46" style="5" bestFit="1" customWidth="1"/>
    <col min="2307" max="2313" width="30.7109375" style="5" customWidth="1"/>
    <col min="2314" max="2560" width="8.85546875" style="5"/>
    <col min="2561" max="2561" width="26.140625" style="5" customWidth="1"/>
    <col min="2562" max="2562" width="46" style="5" bestFit="1" customWidth="1"/>
    <col min="2563" max="2569" width="30.7109375" style="5" customWidth="1"/>
    <col min="2570" max="2816" width="8.85546875" style="5"/>
    <col min="2817" max="2817" width="26.140625" style="5" customWidth="1"/>
    <col min="2818" max="2818" width="46" style="5" bestFit="1" customWidth="1"/>
    <col min="2819" max="2825" width="30.7109375" style="5" customWidth="1"/>
    <col min="2826" max="3072" width="8.85546875" style="5"/>
    <col min="3073" max="3073" width="26.140625" style="5" customWidth="1"/>
    <col min="3074" max="3074" width="46" style="5" bestFit="1" customWidth="1"/>
    <col min="3075" max="3081" width="30.7109375" style="5" customWidth="1"/>
    <col min="3082" max="3328" width="8.85546875" style="5"/>
    <col min="3329" max="3329" width="26.140625" style="5" customWidth="1"/>
    <col min="3330" max="3330" width="46" style="5" bestFit="1" customWidth="1"/>
    <col min="3331" max="3337" width="30.7109375" style="5" customWidth="1"/>
    <col min="3338" max="3584" width="8.85546875" style="5"/>
    <col min="3585" max="3585" width="26.140625" style="5" customWidth="1"/>
    <col min="3586" max="3586" width="46" style="5" bestFit="1" customWidth="1"/>
    <col min="3587" max="3593" width="30.7109375" style="5" customWidth="1"/>
    <col min="3594" max="3840" width="8.85546875" style="5"/>
    <col min="3841" max="3841" width="26.140625" style="5" customWidth="1"/>
    <col min="3842" max="3842" width="46" style="5" bestFit="1" customWidth="1"/>
    <col min="3843" max="3849" width="30.7109375" style="5" customWidth="1"/>
    <col min="3850" max="4096" width="8.85546875" style="5"/>
    <col min="4097" max="4097" width="26.140625" style="5" customWidth="1"/>
    <col min="4098" max="4098" width="46" style="5" bestFit="1" customWidth="1"/>
    <col min="4099" max="4105" width="30.7109375" style="5" customWidth="1"/>
    <col min="4106" max="4352" width="8.85546875" style="5"/>
    <col min="4353" max="4353" width="26.140625" style="5" customWidth="1"/>
    <col min="4354" max="4354" width="46" style="5" bestFit="1" customWidth="1"/>
    <col min="4355" max="4361" width="30.7109375" style="5" customWidth="1"/>
    <col min="4362" max="4608" width="8.85546875" style="5"/>
    <col min="4609" max="4609" width="26.140625" style="5" customWidth="1"/>
    <col min="4610" max="4610" width="46" style="5" bestFit="1" customWidth="1"/>
    <col min="4611" max="4617" width="30.7109375" style="5" customWidth="1"/>
    <col min="4618" max="4864" width="8.85546875" style="5"/>
    <col min="4865" max="4865" width="26.140625" style="5" customWidth="1"/>
    <col min="4866" max="4866" width="46" style="5" bestFit="1" customWidth="1"/>
    <col min="4867" max="4873" width="30.7109375" style="5" customWidth="1"/>
    <col min="4874" max="5120" width="8.85546875" style="5"/>
    <col min="5121" max="5121" width="26.140625" style="5" customWidth="1"/>
    <col min="5122" max="5122" width="46" style="5" bestFit="1" customWidth="1"/>
    <col min="5123" max="5129" width="30.7109375" style="5" customWidth="1"/>
    <col min="5130" max="5376" width="8.85546875" style="5"/>
    <col min="5377" max="5377" width="26.140625" style="5" customWidth="1"/>
    <col min="5378" max="5378" width="46" style="5" bestFit="1" customWidth="1"/>
    <col min="5379" max="5385" width="30.7109375" style="5" customWidth="1"/>
    <col min="5386" max="5632" width="8.85546875" style="5"/>
    <col min="5633" max="5633" width="26.140625" style="5" customWidth="1"/>
    <col min="5634" max="5634" width="46" style="5" bestFit="1" customWidth="1"/>
    <col min="5635" max="5641" width="30.7109375" style="5" customWidth="1"/>
    <col min="5642" max="5888" width="8.85546875" style="5"/>
    <col min="5889" max="5889" width="26.140625" style="5" customWidth="1"/>
    <col min="5890" max="5890" width="46" style="5" bestFit="1" customWidth="1"/>
    <col min="5891" max="5897" width="30.7109375" style="5" customWidth="1"/>
    <col min="5898" max="6144" width="8.85546875" style="5"/>
    <col min="6145" max="6145" width="26.140625" style="5" customWidth="1"/>
    <col min="6146" max="6146" width="46" style="5" bestFit="1" customWidth="1"/>
    <col min="6147" max="6153" width="30.7109375" style="5" customWidth="1"/>
    <col min="6154" max="6400" width="8.85546875" style="5"/>
    <col min="6401" max="6401" width="26.140625" style="5" customWidth="1"/>
    <col min="6402" max="6402" width="46" style="5" bestFit="1" customWidth="1"/>
    <col min="6403" max="6409" width="30.7109375" style="5" customWidth="1"/>
    <col min="6410" max="6656" width="8.85546875" style="5"/>
    <col min="6657" max="6657" width="26.140625" style="5" customWidth="1"/>
    <col min="6658" max="6658" width="46" style="5" bestFit="1" customWidth="1"/>
    <col min="6659" max="6665" width="30.7109375" style="5" customWidth="1"/>
    <col min="6666" max="6912" width="8.85546875" style="5"/>
    <col min="6913" max="6913" width="26.140625" style="5" customWidth="1"/>
    <col min="6914" max="6914" width="46" style="5" bestFit="1" customWidth="1"/>
    <col min="6915" max="6921" width="30.7109375" style="5" customWidth="1"/>
    <col min="6922" max="7168" width="8.85546875" style="5"/>
    <col min="7169" max="7169" width="26.140625" style="5" customWidth="1"/>
    <col min="7170" max="7170" width="46" style="5" bestFit="1" customWidth="1"/>
    <col min="7171" max="7177" width="30.7109375" style="5" customWidth="1"/>
    <col min="7178" max="7424" width="8.85546875" style="5"/>
    <col min="7425" max="7425" width="26.140625" style="5" customWidth="1"/>
    <col min="7426" max="7426" width="46" style="5" bestFit="1" customWidth="1"/>
    <col min="7427" max="7433" width="30.7109375" style="5" customWidth="1"/>
    <col min="7434" max="7680" width="8.85546875" style="5"/>
    <col min="7681" max="7681" width="26.140625" style="5" customWidth="1"/>
    <col min="7682" max="7682" width="46" style="5" bestFit="1" customWidth="1"/>
    <col min="7683" max="7689" width="30.7109375" style="5" customWidth="1"/>
    <col min="7690" max="7936" width="8.85546875" style="5"/>
    <col min="7937" max="7937" width="26.140625" style="5" customWidth="1"/>
    <col min="7938" max="7938" width="46" style="5" bestFit="1" customWidth="1"/>
    <col min="7939" max="7945" width="30.7109375" style="5" customWidth="1"/>
    <col min="7946" max="8192" width="8.85546875" style="5"/>
    <col min="8193" max="8193" width="26.140625" style="5" customWidth="1"/>
    <col min="8194" max="8194" width="46" style="5" bestFit="1" customWidth="1"/>
    <col min="8195" max="8201" width="30.7109375" style="5" customWidth="1"/>
    <col min="8202" max="8448" width="8.85546875" style="5"/>
    <col min="8449" max="8449" width="26.140625" style="5" customWidth="1"/>
    <col min="8450" max="8450" width="46" style="5" bestFit="1" customWidth="1"/>
    <col min="8451" max="8457" width="30.7109375" style="5" customWidth="1"/>
    <col min="8458" max="8704" width="8.85546875" style="5"/>
    <col min="8705" max="8705" width="26.140625" style="5" customWidth="1"/>
    <col min="8706" max="8706" width="46" style="5" bestFit="1" customWidth="1"/>
    <col min="8707" max="8713" width="30.7109375" style="5" customWidth="1"/>
    <col min="8714" max="8960" width="8.85546875" style="5"/>
    <col min="8961" max="8961" width="26.140625" style="5" customWidth="1"/>
    <col min="8962" max="8962" width="46" style="5" bestFit="1" customWidth="1"/>
    <col min="8963" max="8969" width="30.7109375" style="5" customWidth="1"/>
    <col min="8970" max="9216" width="8.85546875" style="5"/>
    <col min="9217" max="9217" width="26.140625" style="5" customWidth="1"/>
    <col min="9218" max="9218" width="46" style="5" bestFit="1" customWidth="1"/>
    <col min="9219" max="9225" width="30.7109375" style="5" customWidth="1"/>
    <col min="9226" max="9472" width="8.85546875" style="5"/>
    <col min="9473" max="9473" width="26.140625" style="5" customWidth="1"/>
    <col min="9474" max="9474" width="46" style="5" bestFit="1" customWidth="1"/>
    <col min="9475" max="9481" width="30.7109375" style="5" customWidth="1"/>
    <col min="9482" max="9728" width="8.85546875" style="5"/>
    <col min="9729" max="9729" width="26.140625" style="5" customWidth="1"/>
    <col min="9730" max="9730" width="46" style="5" bestFit="1" customWidth="1"/>
    <col min="9731" max="9737" width="30.7109375" style="5" customWidth="1"/>
    <col min="9738" max="9984" width="8.85546875" style="5"/>
    <col min="9985" max="9985" width="26.140625" style="5" customWidth="1"/>
    <col min="9986" max="9986" width="46" style="5" bestFit="1" customWidth="1"/>
    <col min="9987" max="9993" width="30.7109375" style="5" customWidth="1"/>
    <col min="9994" max="10240" width="8.85546875" style="5"/>
    <col min="10241" max="10241" width="26.140625" style="5" customWidth="1"/>
    <col min="10242" max="10242" width="46" style="5" bestFit="1" customWidth="1"/>
    <col min="10243" max="10249" width="30.7109375" style="5" customWidth="1"/>
    <col min="10250" max="10496" width="8.85546875" style="5"/>
    <col min="10497" max="10497" width="26.140625" style="5" customWidth="1"/>
    <col min="10498" max="10498" width="46" style="5" bestFit="1" customWidth="1"/>
    <col min="10499" max="10505" width="30.7109375" style="5" customWidth="1"/>
    <col min="10506" max="10752" width="8.85546875" style="5"/>
    <col min="10753" max="10753" width="26.140625" style="5" customWidth="1"/>
    <col min="10754" max="10754" width="46" style="5" bestFit="1" customWidth="1"/>
    <col min="10755" max="10761" width="30.7109375" style="5" customWidth="1"/>
    <col min="10762" max="11008" width="8.85546875" style="5"/>
    <col min="11009" max="11009" width="26.140625" style="5" customWidth="1"/>
    <col min="11010" max="11010" width="46" style="5" bestFit="1" customWidth="1"/>
    <col min="11011" max="11017" width="30.7109375" style="5" customWidth="1"/>
    <col min="11018" max="11264" width="8.85546875" style="5"/>
    <col min="11265" max="11265" width="26.140625" style="5" customWidth="1"/>
    <col min="11266" max="11266" width="46" style="5" bestFit="1" customWidth="1"/>
    <col min="11267" max="11273" width="30.7109375" style="5" customWidth="1"/>
    <col min="11274" max="11520" width="8.85546875" style="5"/>
    <col min="11521" max="11521" width="26.140625" style="5" customWidth="1"/>
    <col min="11522" max="11522" width="46" style="5" bestFit="1" customWidth="1"/>
    <col min="11523" max="11529" width="30.7109375" style="5" customWidth="1"/>
    <col min="11530" max="11776" width="8.85546875" style="5"/>
    <col min="11777" max="11777" width="26.140625" style="5" customWidth="1"/>
    <col min="11778" max="11778" width="46" style="5" bestFit="1" customWidth="1"/>
    <col min="11779" max="11785" width="30.7109375" style="5" customWidth="1"/>
    <col min="11786" max="12032" width="8.85546875" style="5"/>
    <col min="12033" max="12033" width="26.140625" style="5" customWidth="1"/>
    <col min="12034" max="12034" width="46" style="5" bestFit="1" customWidth="1"/>
    <col min="12035" max="12041" width="30.7109375" style="5" customWidth="1"/>
    <col min="12042" max="12288" width="8.85546875" style="5"/>
    <col min="12289" max="12289" width="26.140625" style="5" customWidth="1"/>
    <col min="12290" max="12290" width="46" style="5" bestFit="1" customWidth="1"/>
    <col min="12291" max="12297" width="30.7109375" style="5" customWidth="1"/>
    <col min="12298" max="12544" width="8.85546875" style="5"/>
    <col min="12545" max="12545" width="26.140625" style="5" customWidth="1"/>
    <col min="12546" max="12546" width="46" style="5" bestFit="1" customWidth="1"/>
    <col min="12547" max="12553" width="30.7109375" style="5" customWidth="1"/>
    <col min="12554" max="12800" width="8.85546875" style="5"/>
    <col min="12801" max="12801" width="26.140625" style="5" customWidth="1"/>
    <col min="12802" max="12802" width="46" style="5" bestFit="1" customWidth="1"/>
    <col min="12803" max="12809" width="30.7109375" style="5" customWidth="1"/>
    <col min="12810" max="13056" width="8.85546875" style="5"/>
    <col min="13057" max="13057" width="26.140625" style="5" customWidth="1"/>
    <col min="13058" max="13058" width="46" style="5" bestFit="1" customWidth="1"/>
    <col min="13059" max="13065" width="30.7109375" style="5" customWidth="1"/>
    <col min="13066" max="13312" width="8.85546875" style="5"/>
    <col min="13313" max="13313" width="26.140625" style="5" customWidth="1"/>
    <col min="13314" max="13314" width="46" style="5" bestFit="1" customWidth="1"/>
    <col min="13315" max="13321" width="30.7109375" style="5" customWidth="1"/>
    <col min="13322" max="13568" width="8.85546875" style="5"/>
    <col min="13569" max="13569" width="26.140625" style="5" customWidth="1"/>
    <col min="13570" max="13570" width="46" style="5" bestFit="1" customWidth="1"/>
    <col min="13571" max="13577" width="30.7109375" style="5" customWidth="1"/>
    <col min="13578" max="13824" width="8.85546875" style="5"/>
    <col min="13825" max="13825" width="26.140625" style="5" customWidth="1"/>
    <col min="13826" max="13826" width="46" style="5" bestFit="1" customWidth="1"/>
    <col min="13827" max="13833" width="30.7109375" style="5" customWidth="1"/>
    <col min="13834" max="14080" width="8.85546875" style="5"/>
    <col min="14081" max="14081" width="26.140625" style="5" customWidth="1"/>
    <col min="14082" max="14082" width="46" style="5" bestFit="1" customWidth="1"/>
    <col min="14083" max="14089" width="30.7109375" style="5" customWidth="1"/>
    <col min="14090" max="14336" width="8.85546875" style="5"/>
    <col min="14337" max="14337" width="26.140625" style="5" customWidth="1"/>
    <col min="14338" max="14338" width="46" style="5" bestFit="1" customWidth="1"/>
    <col min="14339" max="14345" width="30.7109375" style="5" customWidth="1"/>
    <col min="14346" max="14592" width="8.85546875" style="5"/>
    <col min="14593" max="14593" width="26.140625" style="5" customWidth="1"/>
    <col min="14594" max="14594" width="46" style="5" bestFit="1" customWidth="1"/>
    <col min="14595" max="14601" width="30.7109375" style="5" customWidth="1"/>
    <col min="14602" max="14848" width="8.85546875" style="5"/>
    <col min="14849" max="14849" width="26.140625" style="5" customWidth="1"/>
    <col min="14850" max="14850" width="46" style="5" bestFit="1" customWidth="1"/>
    <col min="14851" max="14857" width="30.7109375" style="5" customWidth="1"/>
    <col min="14858" max="15104" width="8.85546875" style="5"/>
    <col min="15105" max="15105" width="26.140625" style="5" customWidth="1"/>
    <col min="15106" max="15106" width="46" style="5" bestFit="1" customWidth="1"/>
    <col min="15107" max="15113" width="30.7109375" style="5" customWidth="1"/>
    <col min="15114" max="15360" width="8.85546875" style="5"/>
    <col min="15361" max="15361" width="26.140625" style="5" customWidth="1"/>
    <col min="15362" max="15362" width="46" style="5" bestFit="1" customWidth="1"/>
    <col min="15363" max="15369" width="30.7109375" style="5" customWidth="1"/>
    <col min="15370" max="15616" width="8.85546875" style="5"/>
    <col min="15617" max="15617" width="26.140625" style="5" customWidth="1"/>
    <col min="15618" max="15618" width="46" style="5" bestFit="1" customWidth="1"/>
    <col min="15619" max="15625" width="30.7109375" style="5" customWidth="1"/>
    <col min="15626" max="15872" width="8.85546875" style="5"/>
    <col min="15873" max="15873" width="26.140625" style="5" customWidth="1"/>
    <col min="15874" max="15874" width="46" style="5" bestFit="1" customWidth="1"/>
    <col min="15875" max="15881" width="30.7109375" style="5" customWidth="1"/>
    <col min="15882" max="16128" width="8.85546875" style="5"/>
    <col min="16129" max="16129" width="26.140625" style="5" customWidth="1"/>
    <col min="16130" max="16130" width="46" style="5" bestFit="1" customWidth="1"/>
    <col min="16131" max="16137" width="30.7109375" style="5" customWidth="1"/>
    <col min="16138" max="16384" width="8.85546875" style="5"/>
  </cols>
  <sheetData>
    <row r="1" spans="1:9" ht="17.45">
      <c r="A1" s="1" t="s">
        <v>0</v>
      </c>
      <c r="C1" s="3"/>
      <c r="D1" s="4"/>
      <c r="E1" s="77"/>
      <c r="F1" s="77"/>
      <c r="G1" s="77"/>
      <c r="H1" s="77"/>
      <c r="I1" s="77"/>
    </row>
    <row r="2" spans="1:9">
      <c r="A2" s="6" t="s">
        <v>1</v>
      </c>
      <c r="B2" s="7"/>
      <c r="E2" s="77"/>
      <c r="F2" s="77"/>
      <c r="G2" s="77"/>
      <c r="H2" s="77"/>
      <c r="I2" s="77"/>
    </row>
    <row r="3" spans="1:9">
      <c r="A3" s="6" t="s">
        <v>2</v>
      </c>
      <c r="B3" s="7">
        <v>2017</v>
      </c>
      <c r="E3" s="77"/>
      <c r="F3" s="77"/>
      <c r="G3" s="77"/>
      <c r="H3" s="77"/>
      <c r="I3" s="77"/>
    </row>
    <row r="4" spans="1:9">
      <c r="A4" s="6" t="s">
        <v>3</v>
      </c>
      <c r="B4" s="62"/>
      <c r="C4" s="10"/>
      <c r="E4" s="77"/>
      <c r="F4" s="77"/>
      <c r="G4" s="77"/>
      <c r="H4" s="77"/>
      <c r="I4" s="77"/>
    </row>
    <row r="5" spans="1:9" ht="35.25" customHeight="1">
      <c r="A5" s="11" t="s">
        <v>4</v>
      </c>
      <c r="B5" s="78" t="s">
        <v>5</v>
      </c>
      <c r="C5" s="80"/>
      <c r="D5" s="77"/>
      <c r="E5" s="77"/>
      <c r="F5" s="77"/>
      <c r="G5" s="77"/>
      <c r="H5" s="77"/>
      <c r="I5" s="77"/>
    </row>
    <row r="6" spans="1:9" ht="12.75" customHeight="1">
      <c r="A6" s="11" t="s">
        <v>6</v>
      </c>
      <c r="B6" s="77"/>
      <c r="C6" s="77"/>
      <c r="D6" s="77"/>
      <c r="E6" s="77"/>
      <c r="F6" s="77"/>
      <c r="G6" s="77"/>
      <c r="H6" s="77"/>
      <c r="I6" s="77"/>
    </row>
    <row r="7" spans="1:9" s="8" customFormat="1">
      <c r="A7" s="12"/>
      <c r="B7" s="79"/>
      <c r="C7" s="81"/>
      <c r="D7" s="81"/>
    </row>
    <row r="8" spans="1:9" s="8" customFormat="1">
      <c r="A8" s="12"/>
      <c r="B8" s="76"/>
      <c r="C8" s="77"/>
      <c r="D8" s="77"/>
    </row>
    <row r="9" spans="1:9" s="8" customFormat="1">
      <c r="A9" s="12"/>
      <c r="B9" s="13"/>
    </row>
    <row r="10" spans="1:9" s="8" customFormat="1">
      <c r="A10" s="12"/>
      <c r="B10" s="13"/>
    </row>
    <row r="11" spans="1:9" s="8" customFormat="1">
      <c r="A11" s="12"/>
      <c r="B11" s="13"/>
    </row>
    <row r="12" spans="1:9" s="8" customFormat="1" ht="15">
      <c r="A12" s="12"/>
      <c r="B12" s="14"/>
    </row>
    <row r="13" spans="1:9">
      <c r="A13" s="11" t="s">
        <v>7</v>
      </c>
      <c r="B13" s="15" t="s">
        <v>8</v>
      </c>
      <c r="E13" s="77"/>
      <c r="F13" s="77"/>
      <c r="G13" s="77"/>
      <c r="H13" s="77"/>
      <c r="I13" s="77"/>
    </row>
    <row r="14" spans="1:9">
      <c r="A14" s="16"/>
      <c r="E14" s="77"/>
      <c r="F14" s="77"/>
      <c r="G14" s="77"/>
      <c r="H14" s="77"/>
      <c r="I14" s="77"/>
    </row>
    <row r="15" spans="1:9" ht="24">
      <c r="A15" s="17" t="s">
        <v>9</v>
      </c>
      <c r="B15" s="18" t="s">
        <v>10</v>
      </c>
      <c r="C15" s="18" t="s">
        <v>11</v>
      </c>
      <c r="D15" s="18" t="s">
        <v>12</v>
      </c>
      <c r="E15" s="18" t="s">
        <v>13</v>
      </c>
      <c r="F15" s="18" t="s">
        <v>14</v>
      </c>
      <c r="G15" s="18" t="s">
        <v>15</v>
      </c>
      <c r="H15" s="18" t="s">
        <v>16</v>
      </c>
      <c r="I15" s="18" t="s">
        <v>17</v>
      </c>
    </row>
    <row r="16" spans="1:9">
      <c r="A16" s="19" t="s">
        <v>18</v>
      </c>
      <c r="B16" s="20" t="s">
        <v>19</v>
      </c>
      <c r="C16" s="20" t="s">
        <v>20</v>
      </c>
      <c r="E16" s="20"/>
      <c r="F16" s="20"/>
      <c r="G16" s="20"/>
      <c r="H16" s="20"/>
      <c r="I16" s="20"/>
    </row>
    <row r="17" spans="1:9" s="21" customFormat="1">
      <c r="A17" s="19" t="s">
        <v>21</v>
      </c>
      <c r="B17" s="75" t="s">
        <v>22</v>
      </c>
      <c r="C17" s="20"/>
      <c r="E17" s="20"/>
      <c r="F17" s="20"/>
      <c r="G17" s="20"/>
      <c r="H17" s="20"/>
      <c r="I17" s="20"/>
    </row>
    <row r="18" spans="1:9" s="21" customFormat="1">
      <c r="A18" s="19" t="s">
        <v>23</v>
      </c>
      <c r="B18" s="20" t="s">
        <v>24</v>
      </c>
      <c r="C18" s="20" t="s">
        <v>25</v>
      </c>
      <c r="E18" s="20"/>
      <c r="F18" s="20"/>
      <c r="G18" s="20"/>
      <c r="H18" s="20"/>
      <c r="I18" s="20"/>
    </row>
    <row r="19" spans="1:9" s="21" customFormat="1">
      <c r="A19" s="19" t="s">
        <v>26</v>
      </c>
      <c r="B19" s="20" t="s">
        <v>27</v>
      </c>
      <c r="C19" s="20" t="s">
        <v>28</v>
      </c>
      <c r="E19" s="20"/>
      <c r="F19" s="20"/>
      <c r="G19" s="20"/>
      <c r="H19" s="20"/>
      <c r="I19" s="20"/>
    </row>
    <row r="20" spans="1:9" s="21" customFormat="1">
      <c r="A20" s="19" t="s">
        <v>29</v>
      </c>
      <c r="B20" s="20" t="s">
        <v>30</v>
      </c>
      <c r="C20" s="20" t="s">
        <v>31</v>
      </c>
      <c r="E20" s="20"/>
      <c r="F20" s="20"/>
      <c r="G20" s="20"/>
      <c r="H20" s="20"/>
      <c r="I20" s="20"/>
    </row>
    <row r="21" spans="1:9" s="21" customFormat="1">
      <c r="A21" s="19" t="s">
        <v>32</v>
      </c>
      <c r="B21" s="20"/>
      <c r="C21" s="20" t="s">
        <v>33</v>
      </c>
      <c r="E21" s="20"/>
      <c r="F21" s="20"/>
      <c r="G21" s="20"/>
      <c r="H21" s="20"/>
      <c r="I21" s="20"/>
    </row>
    <row r="22" spans="1:9" s="21" customFormat="1">
      <c r="A22" s="19" t="s">
        <v>34</v>
      </c>
      <c r="B22" s="20" t="s">
        <v>35</v>
      </c>
      <c r="C22" s="20"/>
      <c r="E22" s="20"/>
      <c r="F22" s="20"/>
      <c r="G22" s="20"/>
      <c r="H22" s="20"/>
      <c r="I22" s="20"/>
    </row>
    <row r="23" spans="1:9" s="21" customFormat="1">
      <c r="A23" s="19" t="s">
        <v>36</v>
      </c>
      <c r="B23" s="20" t="s">
        <v>37</v>
      </c>
      <c r="C23" s="20" t="s">
        <v>38</v>
      </c>
      <c r="E23" s="20"/>
      <c r="F23" s="20"/>
      <c r="G23" s="20"/>
      <c r="H23" s="20"/>
      <c r="I23" s="20"/>
    </row>
    <row r="24" spans="1:9" s="21" customFormat="1">
      <c r="A24" s="19" t="s">
        <v>39</v>
      </c>
      <c r="B24" s="20" t="s">
        <v>40</v>
      </c>
      <c r="C24" s="20" t="s">
        <v>41</v>
      </c>
      <c r="E24" s="20"/>
      <c r="F24" s="20"/>
      <c r="G24" s="20"/>
      <c r="H24" s="20"/>
      <c r="I24" s="20"/>
    </row>
    <row r="25" spans="1:9" s="21" customFormat="1">
      <c r="A25" s="19" t="s">
        <v>42</v>
      </c>
      <c r="B25" s="20" t="s">
        <v>43</v>
      </c>
      <c r="C25" s="20" t="s">
        <v>44</v>
      </c>
      <c r="E25" s="20"/>
      <c r="F25" s="20"/>
      <c r="G25" s="20"/>
      <c r="H25" s="20"/>
      <c r="I25" s="20"/>
    </row>
    <row r="26" spans="1:9" s="21" customFormat="1">
      <c r="A26" s="19" t="s">
        <v>45</v>
      </c>
      <c r="B26" s="20" t="s">
        <v>46</v>
      </c>
      <c r="C26" s="20" t="s">
        <v>46</v>
      </c>
      <c r="E26" s="20"/>
      <c r="F26" s="20"/>
      <c r="G26" s="20"/>
      <c r="H26" s="20"/>
      <c r="I26" s="20"/>
    </row>
    <row r="27" spans="1:9">
      <c r="A27" s="22"/>
      <c r="E27" s="77"/>
      <c r="F27" s="77"/>
      <c r="G27" s="77"/>
      <c r="H27" s="77"/>
      <c r="I27" s="77"/>
    </row>
    <row r="28" spans="1:9">
      <c r="A28" s="23"/>
      <c r="E28" s="77"/>
      <c r="F28" s="77"/>
      <c r="G28" s="77"/>
      <c r="H28" s="77"/>
      <c r="I28" s="77"/>
    </row>
    <row r="29" spans="1:9">
      <c r="A29" s="24" t="s">
        <v>47</v>
      </c>
      <c r="E29" s="77"/>
      <c r="F29" s="77"/>
      <c r="G29" s="77"/>
      <c r="H29" s="77"/>
      <c r="I29" s="77"/>
    </row>
    <row r="30" spans="1:9" hidden="1">
      <c r="A30" s="25" t="s">
        <v>48</v>
      </c>
      <c r="B30" s="9" t="s">
        <v>49</v>
      </c>
      <c r="C30" s="10"/>
      <c r="E30" s="77"/>
      <c r="F30" s="77"/>
      <c r="G30" s="77"/>
      <c r="H30" s="77"/>
      <c r="I30" s="77"/>
    </row>
    <row r="31" spans="1:9">
      <c r="A31" s="26" t="s">
        <v>50</v>
      </c>
      <c r="B31" s="15" t="s">
        <v>51</v>
      </c>
      <c r="E31" s="77"/>
      <c r="F31" s="77"/>
      <c r="G31" s="77"/>
      <c r="H31" s="77"/>
      <c r="I31" s="77"/>
    </row>
    <row r="32" spans="1:9">
      <c r="A32" s="26" t="s">
        <v>52</v>
      </c>
      <c r="B32" s="63">
        <v>41110</v>
      </c>
      <c r="E32" s="77"/>
      <c r="F32" s="77"/>
      <c r="G32" s="77"/>
      <c r="H32" s="77"/>
      <c r="I32" s="77"/>
    </row>
    <row r="33" spans="1:2">
      <c r="A33" s="26" t="s">
        <v>53</v>
      </c>
      <c r="B33" s="63">
        <v>41122</v>
      </c>
    </row>
    <row r="34" spans="1:2">
      <c r="A34" s="27" t="s">
        <v>54</v>
      </c>
      <c r="B34" s="15">
        <v>315</v>
      </c>
    </row>
    <row r="35" spans="1:2">
      <c r="A35" s="27" t="s">
        <v>55</v>
      </c>
      <c r="B35" s="15"/>
    </row>
    <row r="36" spans="1:2">
      <c r="A36" s="27" t="s">
        <v>56</v>
      </c>
      <c r="B36" s="15"/>
    </row>
    <row r="37" spans="1:2">
      <c r="A37" s="27" t="s">
        <v>57</v>
      </c>
      <c r="B37" s="15"/>
    </row>
    <row r="38" spans="1:2">
      <c r="A38" s="27" t="s">
        <v>58</v>
      </c>
      <c r="B38" s="15"/>
    </row>
    <row r="39" spans="1:2">
      <c r="A39" s="27" t="s">
        <v>59</v>
      </c>
      <c r="B39" s="15" t="s">
        <v>60</v>
      </c>
    </row>
    <row r="40" spans="1:2">
      <c r="A40" s="27"/>
      <c r="B40" s="15"/>
    </row>
    <row r="41" spans="1:2">
      <c r="A41" s="27"/>
      <c r="B41" s="15"/>
    </row>
    <row r="42" spans="1:2">
      <c r="A42" s="27"/>
      <c r="B42" s="15"/>
    </row>
    <row r="43" spans="1:2">
      <c r="A43" s="27"/>
      <c r="B43" s="15"/>
    </row>
    <row r="44" spans="1:2">
      <c r="A44" s="27"/>
      <c r="B44" s="15"/>
    </row>
    <row r="45" spans="1:2">
      <c r="A45" s="27"/>
      <c r="B45" s="15"/>
    </row>
    <row r="46" spans="1:2">
      <c r="A46" s="27"/>
      <c r="B46" s="15"/>
    </row>
    <row r="47" spans="1:2">
      <c r="A47" s="27"/>
      <c r="B47" s="15"/>
    </row>
    <row r="48" spans="1:2">
      <c r="A48" s="27"/>
      <c r="B48" s="15"/>
    </row>
    <row r="49" spans="1:22">
      <c r="A49" s="27"/>
      <c r="B49" s="15"/>
      <c r="E49" s="77"/>
      <c r="F49" s="77"/>
      <c r="G49" s="77"/>
      <c r="H49" s="77"/>
      <c r="I49" s="77"/>
      <c r="J49" s="77"/>
      <c r="K49" s="77"/>
      <c r="L49" s="77"/>
      <c r="M49" s="77"/>
      <c r="N49" s="77"/>
      <c r="O49" s="77"/>
      <c r="P49" s="77"/>
      <c r="Q49" s="77"/>
      <c r="R49" s="77"/>
      <c r="S49" s="77"/>
      <c r="T49" s="77"/>
      <c r="U49" s="77"/>
      <c r="V49" s="77"/>
    </row>
    <row r="50" spans="1:22">
      <c r="A50" s="27"/>
      <c r="B50" s="15"/>
      <c r="E50" s="77"/>
      <c r="F50" s="77"/>
      <c r="G50" s="77"/>
      <c r="H50" s="77"/>
      <c r="I50" s="77"/>
      <c r="J50" s="77"/>
      <c r="K50" s="77"/>
      <c r="L50" s="77"/>
      <c r="M50" s="77"/>
      <c r="N50" s="77"/>
      <c r="O50" s="77"/>
      <c r="P50" s="77"/>
      <c r="Q50" s="77"/>
      <c r="R50" s="77"/>
      <c r="S50" s="77"/>
      <c r="T50" s="77"/>
      <c r="U50" s="77"/>
      <c r="V50" s="77"/>
    </row>
    <row r="51" spans="1:22">
      <c r="A51" s="27"/>
      <c r="B51" s="15"/>
      <c r="E51" s="77"/>
      <c r="F51" s="77"/>
      <c r="G51" s="77"/>
      <c r="H51" s="77"/>
      <c r="I51" s="77"/>
      <c r="J51" s="77"/>
      <c r="K51" s="77"/>
      <c r="L51" s="77"/>
      <c r="M51" s="77"/>
      <c r="N51" s="77"/>
      <c r="O51" s="77"/>
      <c r="P51" s="77"/>
      <c r="Q51" s="77"/>
      <c r="R51" s="77"/>
      <c r="S51" s="77"/>
      <c r="T51" s="77"/>
      <c r="U51" s="77"/>
      <c r="V51" s="77"/>
    </row>
    <row r="52" spans="1:22">
      <c r="A52" s="22"/>
      <c r="E52" s="77"/>
      <c r="F52" s="77"/>
      <c r="G52" s="77"/>
      <c r="H52" s="77"/>
      <c r="I52" s="77" t="s">
        <v>61</v>
      </c>
      <c r="J52" s="77"/>
      <c r="K52" s="77"/>
      <c r="L52" s="77"/>
      <c r="M52" s="77"/>
      <c r="N52" s="77"/>
      <c r="O52" s="77"/>
      <c r="P52" s="77"/>
      <c r="Q52" s="77"/>
      <c r="R52" s="77"/>
      <c r="S52" s="77"/>
      <c r="T52" s="77"/>
      <c r="U52" s="77"/>
      <c r="V52" s="77"/>
    </row>
    <row r="53" spans="1:22">
      <c r="A53" s="24" t="s">
        <v>62</v>
      </c>
      <c r="E53" s="77"/>
      <c r="F53" s="77"/>
      <c r="G53" s="77"/>
      <c r="H53" s="77"/>
      <c r="I53" s="77"/>
      <c r="J53" s="77"/>
      <c r="K53" s="77"/>
      <c r="L53" s="77"/>
      <c r="M53" s="77"/>
      <c r="N53" s="77"/>
      <c r="O53" s="77"/>
      <c r="P53" s="77"/>
      <c r="Q53" s="77"/>
      <c r="R53" s="77"/>
      <c r="S53" s="77"/>
      <c r="T53" s="77"/>
      <c r="U53" s="77"/>
      <c r="V53" s="77"/>
    </row>
    <row r="54" spans="1:22" ht="52.9">
      <c r="A54" s="27" t="s">
        <v>63</v>
      </c>
      <c r="B54" s="28" t="s">
        <v>64</v>
      </c>
      <c r="C54" s="28" t="s">
        <v>65</v>
      </c>
      <c r="D54" s="28" t="s">
        <v>65</v>
      </c>
      <c r="E54" s="28" t="s">
        <v>65</v>
      </c>
      <c r="F54" s="28" t="s">
        <v>65</v>
      </c>
      <c r="G54" s="28" t="s">
        <v>65</v>
      </c>
      <c r="H54" s="28" t="s">
        <v>65</v>
      </c>
      <c r="I54" s="28" t="s">
        <v>65</v>
      </c>
      <c r="J54" s="28" t="s">
        <v>65</v>
      </c>
      <c r="K54" s="28" t="s">
        <v>65</v>
      </c>
      <c r="L54" s="28" t="s">
        <v>65</v>
      </c>
      <c r="M54" s="28" t="s">
        <v>65</v>
      </c>
      <c r="N54" s="28" t="s">
        <v>65</v>
      </c>
      <c r="O54" s="28" t="s">
        <v>65</v>
      </c>
      <c r="P54" s="28" t="s">
        <v>65</v>
      </c>
      <c r="Q54" s="28" t="s">
        <v>65</v>
      </c>
      <c r="R54" s="28" t="s">
        <v>65</v>
      </c>
      <c r="S54" s="28" t="s">
        <v>65</v>
      </c>
      <c r="T54" s="28" t="s">
        <v>65</v>
      </c>
      <c r="U54" s="28" t="s">
        <v>65</v>
      </c>
      <c r="V54" s="28" t="s">
        <v>65</v>
      </c>
    </row>
    <row r="55" spans="1:22" ht="39.6">
      <c r="A55" s="27" t="s">
        <v>66</v>
      </c>
      <c r="B55" s="29" t="s">
        <v>67</v>
      </c>
      <c r="C55" s="29" t="s">
        <v>68</v>
      </c>
      <c r="D55" s="29" t="str">
        <f t="shared" ref="D55:V55" si="0">IF(ISNA(INDEX(Sites,MATCH(D$54,Site_name,0),3)),"Enter Description", INDEX(Sites,MATCH(D$54,Site_name,0),3))</f>
        <v>Enter Description</v>
      </c>
      <c r="E55" s="29" t="str">
        <f t="shared" si="0"/>
        <v>Enter Description</v>
      </c>
      <c r="F55" s="29" t="str">
        <f t="shared" si="0"/>
        <v>Enter Description</v>
      </c>
      <c r="G55" s="29" t="str">
        <f t="shared" si="0"/>
        <v>Enter Description</v>
      </c>
      <c r="H55" s="29" t="str">
        <f t="shared" si="0"/>
        <v>Enter Description</v>
      </c>
      <c r="I55" s="29" t="str">
        <f t="shared" si="0"/>
        <v>Enter Description</v>
      </c>
      <c r="J55" s="29" t="str">
        <f t="shared" si="0"/>
        <v>Enter Description</v>
      </c>
      <c r="K55" s="29" t="str">
        <f t="shared" si="0"/>
        <v>Enter Description</v>
      </c>
      <c r="L55" s="29" t="str">
        <f t="shared" si="0"/>
        <v>Enter Description</v>
      </c>
      <c r="M55" s="29" t="str">
        <f t="shared" si="0"/>
        <v>Enter Description</v>
      </c>
      <c r="N55" s="29" t="str">
        <f t="shared" si="0"/>
        <v>Enter Description</v>
      </c>
      <c r="O55" s="29" t="str">
        <f t="shared" si="0"/>
        <v>Enter Description</v>
      </c>
      <c r="P55" s="29" t="str">
        <f t="shared" si="0"/>
        <v>Enter Description</v>
      </c>
      <c r="Q55" s="29" t="str">
        <f t="shared" si="0"/>
        <v>Enter Description</v>
      </c>
      <c r="R55" s="29" t="str">
        <f t="shared" si="0"/>
        <v>Enter Description</v>
      </c>
      <c r="S55" s="29" t="str">
        <f t="shared" si="0"/>
        <v>Enter Description</v>
      </c>
      <c r="T55" s="29" t="str">
        <f t="shared" si="0"/>
        <v>Enter Description</v>
      </c>
      <c r="U55" s="29" t="str">
        <f t="shared" si="0"/>
        <v>Enter Description</v>
      </c>
      <c r="V55" s="29" t="str">
        <f t="shared" si="0"/>
        <v>Enter Description</v>
      </c>
    </row>
    <row r="56" spans="1:22">
      <c r="A56" s="30" t="s">
        <v>69</v>
      </c>
      <c r="C56" s="2"/>
      <c r="D56" s="2"/>
      <c r="E56" s="2"/>
      <c r="F56" s="2"/>
      <c r="G56" s="2"/>
      <c r="H56" s="2"/>
      <c r="I56" s="2"/>
      <c r="J56" s="2"/>
      <c r="K56" s="2"/>
      <c r="L56" s="2"/>
      <c r="M56" s="2"/>
      <c r="N56" s="2"/>
      <c r="O56" s="2"/>
      <c r="P56" s="2"/>
      <c r="Q56" s="2"/>
      <c r="R56" s="2"/>
      <c r="S56" s="2"/>
      <c r="T56" s="2"/>
      <c r="U56" s="2"/>
      <c r="V56" s="2"/>
    </row>
    <row r="57" spans="1:22">
      <c r="A57" s="31" t="s">
        <v>70</v>
      </c>
      <c r="B57" s="15"/>
      <c r="C57" s="15"/>
      <c r="D57" s="15"/>
      <c r="E57" s="15"/>
      <c r="F57" s="15"/>
      <c r="G57" s="15"/>
      <c r="H57" s="15"/>
      <c r="I57" s="15"/>
      <c r="J57" s="15"/>
      <c r="K57" s="15"/>
      <c r="L57" s="15"/>
      <c r="M57" s="15"/>
      <c r="N57" s="15"/>
      <c r="O57" s="15"/>
      <c r="P57" s="15"/>
      <c r="Q57" s="15"/>
      <c r="R57" s="15"/>
      <c r="S57" s="15"/>
      <c r="T57" s="15"/>
      <c r="U57" s="15"/>
      <c r="V57" s="15"/>
    </row>
    <row r="58" spans="1:22">
      <c r="A58" s="31" t="s">
        <v>71</v>
      </c>
      <c r="B58" s="32"/>
      <c r="C58" s="32"/>
      <c r="D58" s="32"/>
      <c r="E58" s="32"/>
      <c r="F58" s="32"/>
      <c r="G58" s="32"/>
      <c r="H58" s="32"/>
      <c r="I58" s="32"/>
      <c r="J58" s="32"/>
      <c r="K58" s="32"/>
      <c r="L58" s="32"/>
      <c r="M58" s="32"/>
      <c r="N58" s="32"/>
      <c r="O58" s="32"/>
      <c r="P58" s="32"/>
      <c r="Q58" s="32"/>
      <c r="R58" s="32"/>
      <c r="S58" s="32"/>
      <c r="T58" s="32"/>
      <c r="U58" s="32"/>
      <c r="V58" s="32"/>
    </row>
    <row r="59" spans="1:22">
      <c r="A59" s="31" t="s">
        <v>72</v>
      </c>
      <c r="B59" s="15"/>
      <c r="C59" s="15"/>
      <c r="D59" s="15"/>
      <c r="E59" s="15"/>
      <c r="F59" s="15"/>
      <c r="G59" s="15"/>
      <c r="H59" s="15"/>
      <c r="I59" s="15"/>
      <c r="J59" s="15"/>
      <c r="K59" s="15"/>
      <c r="L59" s="15"/>
      <c r="M59" s="15"/>
      <c r="N59" s="15"/>
      <c r="O59" s="15"/>
      <c r="P59" s="15"/>
      <c r="Q59" s="15"/>
      <c r="R59" s="15"/>
      <c r="S59" s="15"/>
      <c r="T59" s="15"/>
      <c r="U59" s="15"/>
      <c r="V59" s="15"/>
    </row>
    <row r="60" spans="1:22">
      <c r="A60" s="31" t="s">
        <v>73</v>
      </c>
      <c r="B60" s="33"/>
      <c r="C60" s="33"/>
      <c r="D60" s="33"/>
      <c r="E60" s="33"/>
      <c r="F60" s="33"/>
      <c r="G60" s="33"/>
      <c r="H60" s="33"/>
      <c r="I60" s="33"/>
      <c r="J60" s="33"/>
      <c r="K60" s="33"/>
      <c r="L60" s="33"/>
      <c r="M60" s="33"/>
      <c r="N60" s="33"/>
      <c r="O60" s="33"/>
      <c r="P60" s="33"/>
      <c r="Q60" s="33"/>
      <c r="R60" s="33"/>
      <c r="S60" s="33"/>
      <c r="T60" s="33"/>
      <c r="U60" s="33"/>
      <c r="V60" s="33"/>
    </row>
    <row r="61" spans="1:22">
      <c r="A61" s="34" t="s">
        <v>74</v>
      </c>
      <c r="B61" s="35"/>
      <c r="C61" s="35"/>
      <c r="D61" s="35"/>
      <c r="E61" s="35"/>
      <c r="F61" s="35"/>
      <c r="G61" s="35"/>
      <c r="H61" s="35"/>
      <c r="I61" s="35"/>
      <c r="J61" s="35"/>
      <c r="K61" s="35"/>
      <c r="L61" s="35"/>
      <c r="M61" s="35"/>
      <c r="N61" s="35"/>
      <c r="O61" s="35"/>
      <c r="P61" s="35"/>
      <c r="Q61" s="35"/>
      <c r="R61" s="35"/>
      <c r="S61" s="35"/>
      <c r="T61" s="35"/>
      <c r="U61" s="35"/>
      <c r="V61" s="35"/>
    </row>
    <row r="62" spans="1:22" ht="39.6">
      <c r="A62" s="27" t="s">
        <v>75</v>
      </c>
      <c r="B62" s="29">
        <v>68.641727000000003</v>
      </c>
      <c r="C62" s="29" t="s">
        <v>76</v>
      </c>
      <c r="D62" s="29" t="str">
        <f t="shared" ref="D62:V62" si="1">IF(ISNA(INDEX(Sites,MATCH(D$54,Site_name,0),4)),"In Decimal Degrees", INDEX(Sites,MATCH(D$54,Site_name,0),4))</f>
        <v>In Decimal Degrees</v>
      </c>
      <c r="E62" s="29" t="str">
        <f t="shared" si="1"/>
        <v>In Decimal Degrees</v>
      </c>
      <c r="F62" s="29" t="str">
        <f t="shared" si="1"/>
        <v>In Decimal Degrees</v>
      </c>
      <c r="G62" s="29" t="str">
        <f t="shared" si="1"/>
        <v>In Decimal Degrees</v>
      </c>
      <c r="H62" s="29" t="str">
        <f t="shared" si="1"/>
        <v>In Decimal Degrees</v>
      </c>
      <c r="I62" s="29" t="str">
        <f t="shared" si="1"/>
        <v>In Decimal Degrees</v>
      </c>
      <c r="J62" s="29" t="str">
        <f t="shared" si="1"/>
        <v>In Decimal Degrees</v>
      </c>
      <c r="K62" s="29" t="str">
        <f t="shared" si="1"/>
        <v>In Decimal Degrees</v>
      </c>
      <c r="L62" s="29" t="str">
        <f t="shared" si="1"/>
        <v>In Decimal Degrees</v>
      </c>
      <c r="M62" s="29" t="str">
        <f t="shared" si="1"/>
        <v>In Decimal Degrees</v>
      </c>
      <c r="N62" s="29" t="str">
        <f t="shared" si="1"/>
        <v>In Decimal Degrees</v>
      </c>
      <c r="O62" s="29" t="str">
        <f t="shared" si="1"/>
        <v>In Decimal Degrees</v>
      </c>
      <c r="P62" s="29" t="str">
        <f t="shared" si="1"/>
        <v>In Decimal Degrees</v>
      </c>
      <c r="Q62" s="29" t="str">
        <f t="shared" si="1"/>
        <v>In Decimal Degrees</v>
      </c>
      <c r="R62" s="29" t="str">
        <f t="shared" si="1"/>
        <v>In Decimal Degrees</v>
      </c>
      <c r="S62" s="29" t="str">
        <f t="shared" si="1"/>
        <v>In Decimal Degrees</v>
      </c>
      <c r="T62" s="29" t="str">
        <f t="shared" si="1"/>
        <v>In Decimal Degrees</v>
      </c>
      <c r="U62" s="29" t="str">
        <f t="shared" si="1"/>
        <v>In Decimal Degrees</v>
      </c>
      <c r="V62" s="29" t="str">
        <f t="shared" si="1"/>
        <v>In Decimal Degrees</v>
      </c>
    </row>
    <row r="63" spans="1:22" ht="39.6">
      <c r="A63" s="27" t="s">
        <v>77</v>
      </c>
      <c r="B63" s="29">
        <v>-149.58665300000001</v>
      </c>
      <c r="C63" s="29" t="s">
        <v>76</v>
      </c>
      <c r="D63" s="29" t="str">
        <f t="shared" ref="D63:V63" si="2">IF(ISNA(INDEX(Sites,MATCH(D$54,Site_name,0),5)),"In Decimal Degrees", INDEX(Sites,MATCH(D$54,Site_name,0),5))</f>
        <v>In Decimal Degrees</v>
      </c>
      <c r="E63" s="29" t="str">
        <f t="shared" si="2"/>
        <v>In Decimal Degrees</v>
      </c>
      <c r="F63" s="29" t="str">
        <f t="shared" si="2"/>
        <v>In Decimal Degrees</v>
      </c>
      <c r="G63" s="29" t="str">
        <f t="shared" si="2"/>
        <v>In Decimal Degrees</v>
      </c>
      <c r="H63" s="29" t="str">
        <f t="shared" si="2"/>
        <v>In Decimal Degrees</v>
      </c>
      <c r="I63" s="29" t="str">
        <f t="shared" si="2"/>
        <v>In Decimal Degrees</v>
      </c>
      <c r="J63" s="29" t="str">
        <f t="shared" si="2"/>
        <v>In Decimal Degrees</v>
      </c>
      <c r="K63" s="29" t="str">
        <f t="shared" si="2"/>
        <v>In Decimal Degrees</v>
      </c>
      <c r="L63" s="29" t="str">
        <f t="shared" si="2"/>
        <v>In Decimal Degrees</v>
      </c>
      <c r="M63" s="29" t="str">
        <f t="shared" si="2"/>
        <v>In Decimal Degrees</v>
      </c>
      <c r="N63" s="29" t="str">
        <f t="shared" si="2"/>
        <v>In Decimal Degrees</v>
      </c>
      <c r="O63" s="29" t="str">
        <f t="shared" si="2"/>
        <v>In Decimal Degrees</v>
      </c>
      <c r="P63" s="29" t="str">
        <f t="shared" si="2"/>
        <v>In Decimal Degrees</v>
      </c>
      <c r="Q63" s="29" t="str">
        <f t="shared" si="2"/>
        <v>In Decimal Degrees</v>
      </c>
      <c r="R63" s="29" t="str">
        <f t="shared" si="2"/>
        <v>In Decimal Degrees</v>
      </c>
      <c r="S63" s="29" t="str">
        <f t="shared" si="2"/>
        <v>In Decimal Degrees</v>
      </c>
      <c r="T63" s="29" t="str">
        <f t="shared" si="2"/>
        <v>In Decimal Degrees</v>
      </c>
      <c r="U63" s="29" t="str">
        <f t="shared" si="2"/>
        <v>In Decimal Degrees</v>
      </c>
      <c r="V63" s="29" t="str">
        <f t="shared" si="2"/>
        <v>In Decimal Degrees</v>
      </c>
    </row>
    <row r="64" spans="1:22">
      <c r="A64" s="27" t="s">
        <v>78</v>
      </c>
      <c r="B64" s="29">
        <v>724</v>
      </c>
      <c r="C64" s="29" t="s">
        <v>79</v>
      </c>
      <c r="D64" s="29" t="str">
        <f t="shared" ref="D64:V64" si="3">IF(ISNA(INDEX(Sites,MATCH(D$54,Site_name,0),6)),"In Meters", INDEX(Sites,MATCH(D$54,Site_name,0),6))</f>
        <v>In Meters</v>
      </c>
      <c r="E64" s="29" t="str">
        <f t="shared" si="3"/>
        <v>In Meters</v>
      </c>
      <c r="F64" s="29" t="str">
        <f t="shared" si="3"/>
        <v>In Meters</v>
      </c>
      <c r="G64" s="29" t="str">
        <f t="shared" si="3"/>
        <v>In Meters</v>
      </c>
      <c r="H64" s="29" t="str">
        <f t="shared" si="3"/>
        <v>In Meters</v>
      </c>
      <c r="I64" s="29" t="str">
        <f t="shared" si="3"/>
        <v>In Meters</v>
      </c>
      <c r="J64" s="29" t="str">
        <f t="shared" si="3"/>
        <v>In Meters</v>
      </c>
      <c r="K64" s="29" t="str">
        <f t="shared" si="3"/>
        <v>In Meters</v>
      </c>
      <c r="L64" s="29" t="str">
        <f t="shared" si="3"/>
        <v>In Meters</v>
      </c>
      <c r="M64" s="29" t="str">
        <f t="shared" si="3"/>
        <v>In Meters</v>
      </c>
      <c r="N64" s="29" t="str">
        <f t="shared" si="3"/>
        <v>In Meters</v>
      </c>
      <c r="O64" s="29" t="str">
        <f t="shared" si="3"/>
        <v>In Meters</v>
      </c>
      <c r="P64" s="29" t="str">
        <f t="shared" si="3"/>
        <v>In Meters</v>
      </c>
      <c r="Q64" s="29" t="str">
        <f t="shared" si="3"/>
        <v>In Meters</v>
      </c>
      <c r="R64" s="29" t="str">
        <f t="shared" si="3"/>
        <v>In Meters</v>
      </c>
      <c r="S64" s="29" t="str">
        <f t="shared" si="3"/>
        <v>In Meters</v>
      </c>
      <c r="T64" s="29" t="str">
        <f t="shared" si="3"/>
        <v>In Meters</v>
      </c>
      <c r="U64" s="29" t="str">
        <f t="shared" si="3"/>
        <v>In Meters</v>
      </c>
      <c r="V64" s="29" t="str">
        <f t="shared" si="3"/>
        <v>In Meters</v>
      </c>
    </row>
    <row r="65" spans="1:22">
      <c r="A65" s="27" t="s">
        <v>80</v>
      </c>
      <c r="B65" s="36" t="str">
        <f t="shared" ref="B65:V65" si="4">IF(ISNUMBER(B$62),HYPERLINK("http://maps.google.com/maps?q="&amp;B62&amp;","&amp;B63,"View on Google Map"),"")</f>
        <v>View on Google Map</v>
      </c>
      <c r="C65" s="36"/>
      <c r="D65" s="36" t="str">
        <f t="shared" si="4"/>
        <v/>
      </c>
      <c r="E65" s="36" t="str">
        <f t="shared" si="4"/>
        <v/>
      </c>
      <c r="F65" s="36" t="str">
        <f t="shared" si="4"/>
        <v/>
      </c>
      <c r="G65" s="36" t="str">
        <f t="shared" si="4"/>
        <v/>
      </c>
      <c r="H65" s="36" t="str">
        <f t="shared" si="4"/>
        <v/>
      </c>
      <c r="I65" s="36" t="str">
        <f t="shared" si="4"/>
        <v/>
      </c>
      <c r="J65" s="36" t="str">
        <f t="shared" si="4"/>
        <v/>
      </c>
      <c r="K65" s="36" t="str">
        <f t="shared" si="4"/>
        <v/>
      </c>
      <c r="L65" s="36" t="str">
        <f t="shared" si="4"/>
        <v/>
      </c>
      <c r="M65" s="36" t="str">
        <f t="shared" si="4"/>
        <v/>
      </c>
      <c r="N65" s="36" t="str">
        <f t="shared" si="4"/>
        <v/>
      </c>
      <c r="O65" s="36" t="str">
        <f t="shared" si="4"/>
        <v/>
      </c>
      <c r="P65" s="36" t="str">
        <f t="shared" si="4"/>
        <v/>
      </c>
      <c r="Q65" s="36" t="str">
        <f t="shared" si="4"/>
        <v/>
      </c>
      <c r="R65" s="36" t="str">
        <f t="shared" si="4"/>
        <v/>
      </c>
      <c r="S65" s="36" t="str">
        <f t="shared" si="4"/>
        <v/>
      </c>
      <c r="T65" s="36" t="str">
        <f t="shared" si="4"/>
        <v/>
      </c>
      <c r="U65" s="36" t="str">
        <f t="shared" si="4"/>
        <v/>
      </c>
      <c r="V65" s="36" t="str">
        <f t="shared" si="4"/>
        <v/>
      </c>
    </row>
    <row r="66" spans="1:22">
      <c r="A66" s="37"/>
      <c r="C66" s="2"/>
      <c r="D66" s="2"/>
      <c r="E66" s="77"/>
      <c r="F66" s="77"/>
      <c r="G66" s="77"/>
      <c r="H66" s="77"/>
      <c r="I66" s="77"/>
      <c r="J66" s="77"/>
      <c r="K66" s="77"/>
      <c r="L66" s="77"/>
      <c r="M66" s="77"/>
      <c r="N66" s="77"/>
      <c r="O66" s="77"/>
      <c r="P66" s="77"/>
      <c r="Q66" s="77"/>
      <c r="R66" s="77"/>
      <c r="S66" s="77"/>
      <c r="T66" s="77"/>
      <c r="U66" s="77"/>
      <c r="V66" s="77"/>
    </row>
    <row r="67" spans="1:22">
      <c r="A67" s="38" t="s">
        <v>81</v>
      </c>
      <c r="E67" s="77"/>
      <c r="F67" s="77"/>
      <c r="G67" s="77"/>
      <c r="H67" s="77"/>
      <c r="I67" s="77"/>
      <c r="J67" s="77"/>
      <c r="K67" s="77"/>
      <c r="L67" s="77"/>
      <c r="M67" s="77"/>
      <c r="N67" s="77"/>
      <c r="O67" s="77"/>
      <c r="P67" s="77"/>
      <c r="Q67" s="77"/>
      <c r="R67" s="77"/>
      <c r="S67" s="77"/>
      <c r="T67" s="77"/>
      <c r="U67" s="77"/>
      <c r="V67" s="77"/>
    </row>
    <row r="68" spans="1:22" ht="118.9">
      <c r="A68" s="39" t="s">
        <v>82</v>
      </c>
      <c r="B68" s="15" t="s">
        <v>83</v>
      </c>
      <c r="C68" s="8" t="s">
        <v>84</v>
      </c>
      <c r="E68" s="77"/>
      <c r="F68" s="77"/>
      <c r="G68" s="77"/>
      <c r="H68" s="77"/>
      <c r="I68" s="77"/>
      <c r="J68" s="77"/>
      <c r="K68" s="77"/>
      <c r="L68" s="77"/>
      <c r="M68" s="77"/>
      <c r="N68" s="77"/>
      <c r="O68" s="77"/>
      <c r="P68" s="77"/>
      <c r="Q68" s="77"/>
      <c r="R68" s="77"/>
      <c r="S68" s="77"/>
      <c r="T68" s="77"/>
      <c r="U68" s="77"/>
      <c r="V68" s="77"/>
    </row>
    <row r="69" spans="1:22">
      <c r="A69" s="22"/>
      <c r="E69" s="77"/>
      <c r="F69" s="77"/>
      <c r="G69" s="77"/>
      <c r="H69" s="77"/>
      <c r="I69" s="77"/>
      <c r="J69" s="77"/>
      <c r="K69" s="77"/>
      <c r="L69" s="77"/>
      <c r="M69" s="77"/>
      <c r="N69" s="77"/>
      <c r="O69" s="77"/>
      <c r="P69" s="77"/>
      <c r="Q69" s="77"/>
      <c r="R69" s="77"/>
      <c r="S69" s="77"/>
      <c r="T69" s="77"/>
      <c r="U69" s="77"/>
      <c r="V69" s="77"/>
    </row>
    <row r="70" spans="1:22">
      <c r="A70" s="38" t="s">
        <v>85</v>
      </c>
      <c r="B70" s="38" t="s">
        <v>86</v>
      </c>
      <c r="C70" s="38" t="s">
        <v>87</v>
      </c>
      <c r="D70" s="38" t="s">
        <v>88</v>
      </c>
      <c r="E70" s="77"/>
      <c r="F70" s="77"/>
      <c r="G70" s="77"/>
      <c r="H70" s="77"/>
      <c r="I70" s="77"/>
      <c r="J70" s="77"/>
      <c r="K70" s="77"/>
      <c r="L70" s="77"/>
      <c r="M70" s="77"/>
      <c r="N70" s="77"/>
      <c r="O70" s="77"/>
      <c r="P70" s="77"/>
      <c r="Q70" s="77"/>
      <c r="R70" s="77"/>
      <c r="S70" s="77"/>
      <c r="T70" s="77"/>
      <c r="U70" s="77"/>
      <c r="V70" s="77"/>
    </row>
    <row r="71" spans="1:22" ht="39.6">
      <c r="A71" s="40" t="s">
        <v>89</v>
      </c>
      <c r="B71" s="15" t="s">
        <v>90</v>
      </c>
      <c r="C71" s="15" t="s">
        <v>91</v>
      </c>
      <c r="D71" s="15" t="s">
        <v>92</v>
      </c>
      <c r="E71" s="77"/>
      <c r="F71" s="77"/>
      <c r="G71" s="77"/>
      <c r="H71" s="77"/>
      <c r="I71" s="77"/>
      <c r="J71" s="77"/>
      <c r="K71" s="77"/>
      <c r="L71" s="77"/>
      <c r="M71" s="77"/>
      <c r="N71" s="77"/>
      <c r="O71" s="77"/>
      <c r="P71" s="77"/>
      <c r="Q71" s="77"/>
      <c r="R71" s="77"/>
      <c r="S71" s="77"/>
      <c r="T71" s="77"/>
      <c r="U71" s="77"/>
      <c r="V71" s="77"/>
    </row>
    <row r="72" spans="1:22">
      <c r="A72" s="37"/>
      <c r="E72" s="77"/>
      <c r="F72" s="77"/>
      <c r="G72" s="77"/>
      <c r="H72" s="77"/>
      <c r="I72" s="77"/>
      <c r="J72" s="77"/>
      <c r="K72" s="77"/>
      <c r="L72" s="77"/>
      <c r="M72" s="77"/>
      <c r="N72" s="77"/>
      <c r="O72" s="77"/>
      <c r="P72" s="77"/>
      <c r="Q72" s="77"/>
      <c r="R72" s="77"/>
      <c r="S72" s="77"/>
      <c r="T72" s="77"/>
      <c r="U72" s="77"/>
      <c r="V72" s="77"/>
    </row>
    <row r="73" spans="1:22" s="8" customFormat="1" ht="15">
      <c r="A73" s="12"/>
      <c r="B73" s="14"/>
    </row>
    <row r="74" spans="1:22" ht="15">
      <c r="A74" s="24" t="s">
        <v>93</v>
      </c>
      <c r="B74" s="41"/>
      <c r="E74" s="77"/>
      <c r="F74" s="77"/>
      <c r="G74" s="77"/>
      <c r="H74" s="77"/>
      <c r="I74" s="77"/>
      <c r="J74" s="77"/>
      <c r="K74" s="77"/>
      <c r="L74" s="77"/>
      <c r="M74" s="77"/>
      <c r="N74" s="77"/>
      <c r="O74" s="77"/>
      <c r="P74" s="77"/>
      <c r="Q74" s="77"/>
      <c r="R74" s="77"/>
      <c r="S74" s="77"/>
      <c r="T74" s="77"/>
      <c r="U74" s="77"/>
      <c r="V74" s="77"/>
    </row>
    <row r="75" spans="1:22" s="8" customFormat="1">
      <c r="A75" s="77"/>
    </row>
    <row r="76" spans="1:22" s="8" customFormat="1">
      <c r="A76" s="12"/>
    </row>
    <row r="77" spans="1:22" s="8" customFormat="1">
      <c r="A77" s="12"/>
    </row>
    <row r="78" spans="1:22" s="8" customFormat="1">
      <c r="A78" s="12"/>
    </row>
    <row r="79" spans="1:22" s="8" customFormat="1">
      <c r="A79" s="12"/>
    </row>
    <row r="80" spans="1:22" s="8" customFormat="1">
      <c r="A80" s="12"/>
    </row>
    <row r="81" spans="1:1" s="8" customFormat="1">
      <c r="A81" s="12"/>
    </row>
    <row r="82" spans="1:1" s="8" customFormat="1">
      <c r="A82" s="12"/>
    </row>
    <row r="83" spans="1:1" s="8" customFormat="1">
      <c r="A83" s="12"/>
    </row>
    <row r="84" spans="1:1" s="8" customFormat="1">
      <c r="A84" s="12"/>
    </row>
    <row r="85" spans="1:1" s="8" customFormat="1">
      <c r="A85" s="12"/>
    </row>
    <row r="86" spans="1:1" s="8" customFormat="1">
      <c r="A86" s="12"/>
    </row>
    <row r="87" spans="1:1" s="8" customFormat="1">
      <c r="A87" s="12"/>
    </row>
    <row r="88" spans="1:1" s="8" customFormat="1">
      <c r="A88" s="12"/>
    </row>
    <row r="89" spans="1:1" s="8" customFormat="1">
      <c r="A89" s="12"/>
    </row>
    <row r="90" spans="1:1" s="8" customFormat="1">
      <c r="A90" s="12"/>
    </row>
    <row r="91" spans="1:1" s="8" customFormat="1">
      <c r="A91" s="12"/>
    </row>
    <row r="92" spans="1:1" s="8" customFormat="1">
      <c r="A92" s="12"/>
    </row>
    <row r="93" spans="1:1" s="8" customFormat="1">
      <c r="A93" s="12"/>
    </row>
    <row r="94" spans="1:1" s="8" customFormat="1">
      <c r="A94" s="12"/>
    </row>
    <row r="95" spans="1:1" s="8" customFormat="1">
      <c r="A95" s="12"/>
    </row>
    <row r="96" spans="1:1" s="8" customFormat="1">
      <c r="A96" s="12"/>
    </row>
    <row r="97" spans="1:9" s="8" customFormat="1">
      <c r="A97" s="12"/>
    </row>
    <row r="98" spans="1:9" s="8" customFormat="1">
      <c r="A98" s="12"/>
    </row>
    <row r="99" spans="1:9" s="8" customFormat="1">
      <c r="A99" s="12"/>
      <c r="B99" s="13"/>
    </row>
    <row r="100" spans="1:9" s="8" customFormat="1">
      <c r="A100" s="12"/>
      <c r="B100" s="13"/>
    </row>
    <row r="101" spans="1:9" s="8" customFormat="1">
      <c r="A101" s="12"/>
      <c r="B101" s="13"/>
    </row>
    <row r="102" spans="1:9" s="42" customFormat="1">
      <c r="A102" s="12"/>
      <c r="B102" s="13"/>
      <c r="C102" s="8"/>
      <c r="D102" s="8"/>
      <c r="E102" s="8"/>
      <c r="F102" s="8"/>
      <c r="G102" s="8"/>
      <c r="H102" s="8"/>
      <c r="I102" s="8"/>
    </row>
    <row r="103" spans="1:9" s="8" customFormat="1">
      <c r="A103" s="12"/>
      <c r="B103" s="13"/>
    </row>
    <row r="104" spans="1:9" s="8" customFormat="1">
      <c r="A104" s="12"/>
      <c r="B104" s="13"/>
    </row>
    <row r="105" spans="1:9" s="8" customFormat="1">
      <c r="A105" s="12"/>
      <c r="B105" s="13"/>
    </row>
    <row r="106" spans="1:9" s="8" customFormat="1">
      <c r="A106" s="12"/>
      <c r="B106" s="13"/>
    </row>
    <row r="107" spans="1:9" s="8" customFormat="1">
      <c r="A107" s="12"/>
      <c r="B107" s="13"/>
    </row>
    <row r="108" spans="1:9" s="8" customFormat="1">
      <c r="A108" s="12"/>
      <c r="B108" s="13"/>
    </row>
    <row r="109" spans="1:9" s="8" customFormat="1">
      <c r="A109" s="12"/>
      <c r="B109" s="13"/>
    </row>
    <row r="110" spans="1:9" s="8" customFormat="1">
      <c r="A110" s="12"/>
      <c r="B110" s="13"/>
    </row>
    <row r="111" spans="1:9" s="8" customFormat="1">
      <c r="A111" s="12"/>
      <c r="B111" s="13"/>
    </row>
    <row r="112" spans="1:9" s="8" customFormat="1">
      <c r="A112" s="12"/>
      <c r="B112" s="13"/>
    </row>
    <row r="113" spans="1:12" s="8" customFormat="1">
      <c r="A113" s="12"/>
      <c r="B113" s="13"/>
    </row>
    <row r="114" spans="1:12" s="8" customFormat="1">
      <c r="A114" s="12"/>
      <c r="B114" s="13"/>
    </row>
    <row r="115" spans="1:12" s="8" customFormat="1">
      <c r="A115" s="12"/>
      <c r="B115" s="13"/>
    </row>
    <row r="116" spans="1:12" s="8" customFormat="1" ht="13.9" thickBot="1">
      <c r="A116" s="12"/>
      <c r="B116" s="13"/>
    </row>
    <row r="117" spans="1:12" s="8" customFormat="1" ht="13.9" thickBot="1">
      <c r="A117" s="43" t="s">
        <v>94</v>
      </c>
      <c r="B117" s="44"/>
    </row>
    <row r="118" spans="1:12" s="8" customFormat="1">
      <c r="A118" s="45" t="s">
        <v>95</v>
      </c>
      <c r="B118" s="46"/>
      <c r="C118" s="47"/>
    </row>
    <row r="119" spans="1:12" s="8" customFormat="1">
      <c r="A119" s="48" t="s">
        <v>96</v>
      </c>
      <c r="B119" s="49"/>
      <c r="C119" s="50"/>
    </row>
    <row r="120" spans="1:12" s="8" customFormat="1">
      <c r="A120" s="51" t="s">
        <v>97</v>
      </c>
      <c r="B120" s="2"/>
    </row>
    <row r="121" spans="1:12" s="8" customFormat="1">
      <c r="A121" s="52" t="s">
        <v>98</v>
      </c>
      <c r="B121" s="2"/>
    </row>
    <row r="122" spans="1:12" s="8" customFormat="1">
      <c r="A122" s="51"/>
      <c r="B122" s="2"/>
    </row>
    <row r="123" spans="1:12" s="8" customFormat="1">
      <c r="A123" s="51"/>
      <c r="B123" s="2"/>
    </row>
    <row r="124" spans="1:12" s="8" customFormat="1">
      <c r="A124" s="51"/>
      <c r="B124" s="2"/>
    </row>
    <row r="125" spans="1:12">
      <c r="C125" s="37"/>
      <c r="D125" s="2"/>
      <c r="E125" s="77"/>
      <c r="F125" s="77"/>
      <c r="G125" s="77"/>
      <c r="H125" s="77"/>
      <c r="I125" s="77"/>
      <c r="J125" s="77"/>
      <c r="K125" s="77"/>
      <c r="L125" s="77"/>
    </row>
    <row r="126" spans="1:12">
      <c r="C126" s="37"/>
      <c r="D126" s="2"/>
      <c r="E126" s="77"/>
      <c r="F126" s="77"/>
      <c r="G126" s="77"/>
      <c r="H126" s="77"/>
      <c r="I126" s="77"/>
      <c r="J126" s="77"/>
      <c r="K126" s="77"/>
      <c r="L126" s="77"/>
    </row>
    <row r="127" spans="1:12">
      <c r="C127" s="37"/>
      <c r="D127" s="2"/>
      <c r="E127" s="77"/>
      <c r="F127" s="77"/>
      <c r="G127" s="77"/>
      <c r="H127" s="77"/>
      <c r="I127" s="77"/>
      <c r="J127" s="77"/>
      <c r="K127" s="77"/>
      <c r="L127" s="77"/>
    </row>
    <row r="128" spans="1:12">
      <c r="A128" s="24" t="s">
        <v>99</v>
      </c>
      <c r="E128" s="77"/>
      <c r="F128" s="77"/>
      <c r="G128" s="77"/>
      <c r="H128" s="77"/>
      <c r="I128" s="77"/>
      <c r="J128" s="77"/>
      <c r="K128" s="53"/>
      <c r="L128" s="77" t="s">
        <v>100</v>
      </c>
    </row>
    <row r="129" spans="1:14" ht="28.15" customHeight="1">
      <c r="A129" s="54" t="s">
        <v>101</v>
      </c>
      <c r="B129" s="54" t="s">
        <v>102</v>
      </c>
      <c r="C129" s="54" t="s">
        <v>103</v>
      </c>
      <c r="D129" s="55" t="s">
        <v>104</v>
      </c>
      <c r="E129" s="54" t="s">
        <v>105</v>
      </c>
      <c r="F129" s="54" t="s">
        <v>106</v>
      </c>
      <c r="G129" s="54" t="s">
        <v>107</v>
      </c>
      <c r="H129" s="56"/>
      <c r="I129" s="56"/>
      <c r="J129" s="77"/>
      <c r="K129" s="57" t="s">
        <v>18</v>
      </c>
      <c r="L129" s="57" t="s">
        <v>108</v>
      </c>
      <c r="M129" s="57" t="s">
        <v>109</v>
      </c>
      <c r="N129" s="57" t="s">
        <v>110</v>
      </c>
    </row>
    <row r="130" spans="1:14" ht="26.45">
      <c r="A130" s="58" t="s">
        <v>111</v>
      </c>
      <c r="B130" s="59" t="s">
        <v>112</v>
      </c>
      <c r="C130" s="59" t="s">
        <v>113</v>
      </c>
      <c r="D130" s="59"/>
      <c r="E130" s="59" t="s">
        <v>114</v>
      </c>
      <c r="F130" s="59"/>
      <c r="G130" s="59"/>
      <c r="H130" s="59"/>
      <c r="I130" s="59"/>
      <c r="J130" s="77"/>
      <c r="K130" s="77"/>
      <c r="L130" s="77" t="s">
        <v>115</v>
      </c>
      <c r="M130" s="60"/>
      <c r="N130" s="77"/>
    </row>
    <row r="131" spans="1:14">
      <c r="A131" s="58" t="s">
        <v>116</v>
      </c>
      <c r="B131" s="59" t="s">
        <v>117</v>
      </c>
      <c r="C131" s="59" t="s">
        <v>118</v>
      </c>
      <c r="D131" s="59"/>
      <c r="E131" s="59"/>
      <c r="F131" s="59"/>
      <c r="G131" s="59"/>
      <c r="H131" s="59"/>
      <c r="I131" s="59"/>
      <c r="J131" s="77"/>
      <c r="K131" s="77" t="s">
        <v>119</v>
      </c>
      <c r="L131" s="77" t="s">
        <v>113</v>
      </c>
      <c r="M131" s="77" t="s">
        <v>118</v>
      </c>
      <c r="N131" s="77" t="s">
        <v>120</v>
      </c>
    </row>
    <row r="132" spans="1:14">
      <c r="A132" s="58" t="s">
        <v>121</v>
      </c>
      <c r="B132" s="59" t="s">
        <v>122</v>
      </c>
      <c r="C132" s="59" t="s">
        <v>118</v>
      </c>
      <c r="D132" s="59"/>
      <c r="E132" s="59"/>
      <c r="F132" s="59"/>
      <c r="G132" s="59"/>
      <c r="H132" s="59"/>
      <c r="I132" s="59"/>
      <c r="J132" s="77"/>
      <c r="K132" s="77" t="s">
        <v>123</v>
      </c>
      <c r="L132" s="77" t="s">
        <v>124</v>
      </c>
      <c r="M132" s="77" t="s">
        <v>125</v>
      </c>
      <c r="N132" s="77" t="s">
        <v>126</v>
      </c>
    </row>
    <row r="133" spans="1:14">
      <c r="A133" s="58" t="s">
        <v>127</v>
      </c>
      <c r="B133" s="59" t="s">
        <v>128</v>
      </c>
      <c r="C133" s="59" t="s">
        <v>118</v>
      </c>
      <c r="D133" s="59"/>
      <c r="E133" s="59"/>
      <c r="F133" s="59"/>
      <c r="G133" s="59"/>
      <c r="H133" s="59"/>
      <c r="I133" s="59"/>
      <c r="J133" s="77"/>
      <c r="K133" s="77" t="s">
        <v>129</v>
      </c>
      <c r="L133" s="77" t="s">
        <v>130</v>
      </c>
      <c r="M133" s="77" t="s">
        <v>113</v>
      </c>
      <c r="N133" s="77" t="s">
        <v>131</v>
      </c>
    </row>
    <row r="134" spans="1:14" ht="79.150000000000006">
      <c r="A134" s="58" t="s">
        <v>132</v>
      </c>
      <c r="B134" s="59" t="s">
        <v>133</v>
      </c>
      <c r="C134" s="59" t="s">
        <v>118</v>
      </c>
      <c r="D134" s="59"/>
      <c r="E134" s="59"/>
      <c r="F134" s="59"/>
      <c r="G134" s="59"/>
      <c r="H134" s="59"/>
      <c r="I134" s="59"/>
      <c r="J134" s="77"/>
      <c r="K134" s="77" t="s">
        <v>134</v>
      </c>
      <c r="L134" s="77" t="s">
        <v>135</v>
      </c>
      <c r="M134" s="77"/>
      <c r="N134" s="77" t="s">
        <v>136</v>
      </c>
    </row>
    <row r="135" spans="1:14">
      <c r="A135" s="58" t="s">
        <v>137</v>
      </c>
      <c r="B135" s="59" t="s">
        <v>138</v>
      </c>
      <c r="C135" s="59" t="s">
        <v>118</v>
      </c>
      <c r="D135" s="59"/>
      <c r="E135" s="59"/>
      <c r="F135" s="59"/>
      <c r="G135" s="59"/>
      <c r="H135" s="59"/>
      <c r="I135" s="59"/>
      <c r="J135" s="77"/>
      <c r="K135" s="77" t="s">
        <v>139</v>
      </c>
      <c r="L135" s="77" t="s">
        <v>140</v>
      </c>
      <c r="M135" s="77"/>
      <c r="N135" s="77" t="s">
        <v>141</v>
      </c>
    </row>
    <row r="136" spans="1:14">
      <c r="A136" s="58" t="s">
        <v>142</v>
      </c>
      <c r="B136" s="59" t="s">
        <v>143</v>
      </c>
      <c r="C136" s="59" t="s">
        <v>118</v>
      </c>
      <c r="D136" s="59"/>
      <c r="E136" s="59"/>
      <c r="F136" s="59"/>
      <c r="G136" s="59"/>
      <c r="H136" s="59"/>
      <c r="I136" s="59"/>
      <c r="J136" s="77"/>
      <c r="K136" s="77"/>
      <c r="L136" s="77"/>
      <c r="M136" s="77"/>
      <c r="N136" s="77" t="s">
        <v>144</v>
      </c>
    </row>
    <row r="137" spans="1:14" ht="66">
      <c r="A137" s="58" t="s">
        <v>145</v>
      </c>
      <c r="B137" s="59" t="s">
        <v>146</v>
      </c>
      <c r="C137" s="59" t="s">
        <v>125</v>
      </c>
      <c r="D137" s="59" t="s">
        <v>147</v>
      </c>
      <c r="E137" s="59"/>
      <c r="F137" s="59"/>
      <c r="G137" s="59" t="s">
        <v>148</v>
      </c>
      <c r="H137" s="59"/>
      <c r="I137" s="59"/>
      <c r="J137" s="77"/>
      <c r="K137" s="77"/>
      <c r="L137" s="77"/>
      <c r="M137" s="77"/>
      <c r="N137" s="77" t="s">
        <v>149</v>
      </c>
    </row>
    <row r="138" spans="1:14" ht="26.45">
      <c r="A138" s="58" t="s">
        <v>150</v>
      </c>
      <c r="B138" s="59" t="s">
        <v>151</v>
      </c>
      <c r="C138" s="59" t="s">
        <v>125</v>
      </c>
      <c r="D138" s="59" t="s">
        <v>147</v>
      </c>
      <c r="E138" s="59"/>
      <c r="F138" s="59"/>
      <c r="G138" s="59" t="s">
        <v>148</v>
      </c>
      <c r="H138" s="59"/>
      <c r="I138" s="59"/>
      <c r="J138" s="77"/>
      <c r="K138" s="77"/>
      <c r="L138" s="77"/>
      <c r="M138" s="77"/>
      <c r="N138" s="77" t="s">
        <v>152</v>
      </c>
    </row>
    <row r="139" spans="1:14" ht="26.45">
      <c r="A139" s="58" t="s">
        <v>153</v>
      </c>
      <c r="B139" s="59" t="s">
        <v>151</v>
      </c>
      <c r="C139" s="59" t="s">
        <v>125</v>
      </c>
      <c r="D139" s="59" t="s">
        <v>147</v>
      </c>
      <c r="E139" s="59"/>
      <c r="F139" s="59"/>
      <c r="G139" s="59" t="s">
        <v>148</v>
      </c>
      <c r="H139" s="59"/>
      <c r="I139" s="59"/>
      <c r="J139" s="77"/>
      <c r="K139" s="77"/>
      <c r="L139" s="77"/>
      <c r="M139" s="77"/>
      <c r="N139" s="77" t="s">
        <v>154</v>
      </c>
    </row>
    <row r="140" spans="1:14" ht="26.45">
      <c r="A140" s="58" t="s">
        <v>155</v>
      </c>
      <c r="B140" s="59" t="s">
        <v>151</v>
      </c>
      <c r="C140" s="59" t="s">
        <v>125</v>
      </c>
      <c r="D140" s="59" t="s">
        <v>147</v>
      </c>
      <c r="E140" s="59"/>
      <c r="F140" s="59"/>
      <c r="G140" s="59" t="s">
        <v>148</v>
      </c>
      <c r="H140" s="59"/>
      <c r="I140" s="59"/>
      <c r="J140" s="77"/>
      <c r="K140" s="77"/>
      <c r="L140" s="77"/>
      <c r="M140" s="77"/>
      <c r="N140" s="77" t="s">
        <v>156</v>
      </c>
    </row>
    <row r="141" spans="1:14" ht="26.45">
      <c r="A141" s="58" t="s">
        <v>157</v>
      </c>
      <c r="B141" s="59" t="s">
        <v>151</v>
      </c>
      <c r="C141" s="59" t="s">
        <v>125</v>
      </c>
      <c r="D141" s="59" t="s">
        <v>147</v>
      </c>
      <c r="E141" s="59"/>
      <c r="F141" s="59"/>
      <c r="G141" s="59" t="s">
        <v>148</v>
      </c>
      <c r="H141" s="59"/>
      <c r="I141" s="59"/>
      <c r="J141" s="77"/>
      <c r="K141" s="77"/>
      <c r="L141" s="77"/>
      <c r="M141" s="77"/>
      <c r="N141" s="77" t="s">
        <v>158</v>
      </c>
    </row>
    <row r="142" spans="1:14" ht="26.45">
      <c r="A142" s="58" t="s">
        <v>159</v>
      </c>
      <c r="B142" s="59" t="s">
        <v>151</v>
      </c>
      <c r="C142" s="59" t="s">
        <v>125</v>
      </c>
      <c r="D142" s="59" t="s">
        <v>147</v>
      </c>
      <c r="E142" s="59"/>
      <c r="F142" s="59"/>
      <c r="G142" s="59" t="s">
        <v>148</v>
      </c>
      <c r="H142" s="59"/>
      <c r="I142" s="59"/>
      <c r="J142" s="77"/>
      <c r="K142" s="77"/>
      <c r="L142" s="77"/>
      <c r="M142" s="77"/>
      <c r="N142" s="77" t="s">
        <v>160</v>
      </c>
    </row>
    <row r="143" spans="1:14" ht="26.45">
      <c r="A143" s="58" t="s">
        <v>161</v>
      </c>
      <c r="B143" s="59" t="s">
        <v>151</v>
      </c>
      <c r="C143" s="59" t="s">
        <v>125</v>
      </c>
      <c r="D143" s="59" t="s">
        <v>147</v>
      </c>
      <c r="E143" s="59"/>
      <c r="F143" s="59"/>
      <c r="G143" s="59" t="s">
        <v>148</v>
      </c>
      <c r="H143" s="59"/>
      <c r="I143" s="59"/>
      <c r="J143" s="77"/>
      <c r="K143" s="77"/>
      <c r="L143" s="77"/>
      <c r="M143" s="77"/>
      <c r="N143" s="77" t="s">
        <v>162</v>
      </c>
    </row>
    <row r="144" spans="1:14" ht="26.45">
      <c r="A144" s="58" t="s">
        <v>163</v>
      </c>
      <c r="B144" s="59" t="s">
        <v>151</v>
      </c>
      <c r="C144" s="59" t="s">
        <v>125</v>
      </c>
      <c r="D144" s="59" t="s">
        <v>147</v>
      </c>
      <c r="E144" s="59"/>
      <c r="F144" s="59"/>
      <c r="G144" s="59" t="s">
        <v>148</v>
      </c>
      <c r="H144" s="59"/>
      <c r="I144" s="59"/>
      <c r="J144" s="77"/>
      <c r="K144" s="77"/>
      <c r="L144" s="77"/>
      <c r="M144" s="77"/>
      <c r="N144" s="77" t="s">
        <v>164</v>
      </c>
    </row>
    <row r="145" spans="1:14" ht="26.45">
      <c r="A145" s="58" t="s">
        <v>165</v>
      </c>
      <c r="B145" s="59" t="s">
        <v>151</v>
      </c>
      <c r="C145" s="59" t="s">
        <v>125</v>
      </c>
      <c r="D145" s="59" t="s">
        <v>147</v>
      </c>
      <c r="E145" s="59"/>
      <c r="F145" s="59"/>
      <c r="G145" s="59" t="s">
        <v>148</v>
      </c>
      <c r="H145" s="59"/>
      <c r="I145" s="59"/>
      <c r="J145" s="77"/>
      <c r="K145" s="77"/>
      <c r="L145" s="77"/>
      <c r="M145" s="77"/>
      <c r="N145" s="77" t="s">
        <v>166</v>
      </c>
    </row>
    <row r="146" spans="1:14" ht="26.45">
      <c r="A146" s="58" t="s">
        <v>167</v>
      </c>
      <c r="B146" s="59" t="s">
        <v>151</v>
      </c>
      <c r="C146" s="59" t="s">
        <v>125</v>
      </c>
      <c r="D146" s="59" t="s">
        <v>147</v>
      </c>
      <c r="E146" s="59"/>
      <c r="F146" s="59"/>
      <c r="G146" s="59" t="s">
        <v>148</v>
      </c>
      <c r="H146" s="59"/>
      <c r="I146" s="59"/>
      <c r="J146" s="77"/>
      <c r="K146" s="77"/>
      <c r="L146" s="77"/>
      <c r="M146" s="77"/>
      <c r="N146" s="77" t="s">
        <v>168</v>
      </c>
    </row>
    <row r="147" spans="1:14" ht="26.45">
      <c r="A147" s="58" t="s">
        <v>169</v>
      </c>
      <c r="B147" s="59" t="s">
        <v>151</v>
      </c>
      <c r="C147" s="59" t="s">
        <v>125</v>
      </c>
      <c r="D147" s="59" t="s">
        <v>147</v>
      </c>
      <c r="E147" s="59"/>
      <c r="F147" s="59"/>
      <c r="G147" s="59" t="s">
        <v>148</v>
      </c>
      <c r="H147" s="59"/>
      <c r="I147" s="59"/>
      <c r="J147" s="77"/>
      <c r="K147" s="77"/>
      <c r="L147" s="77"/>
      <c r="M147" s="77"/>
      <c r="N147" s="77" t="s">
        <v>170</v>
      </c>
    </row>
    <row r="148" spans="1:14" ht="26.45">
      <c r="A148" s="58" t="s">
        <v>171</v>
      </c>
      <c r="B148" s="59" t="s">
        <v>151</v>
      </c>
      <c r="C148" s="59" t="s">
        <v>125</v>
      </c>
      <c r="D148" s="59" t="s">
        <v>147</v>
      </c>
      <c r="E148" s="59"/>
      <c r="F148" s="59"/>
      <c r="G148" s="59" t="s">
        <v>148</v>
      </c>
      <c r="H148" s="59"/>
      <c r="I148" s="59"/>
      <c r="J148" s="77"/>
      <c r="K148" s="77"/>
      <c r="L148" s="77"/>
      <c r="M148" s="77"/>
      <c r="N148" s="77" t="s">
        <v>172</v>
      </c>
    </row>
    <row r="149" spans="1:14" ht="26.45">
      <c r="A149" s="58" t="s">
        <v>173</v>
      </c>
      <c r="B149" s="59" t="s">
        <v>151</v>
      </c>
      <c r="C149" s="59" t="s">
        <v>125</v>
      </c>
      <c r="D149" s="59" t="s">
        <v>147</v>
      </c>
      <c r="E149" s="59"/>
      <c r="F149" s="59"/>
      <c r="G149" s="59" t="s">
        <v>148</v>
      </c>
      <c r="H149" s="59"/>
      <c r="I149" s="59"/>
      <c r="J149" s="77"/>
      <c r="K149" s="77"/>
      <c r="L149" s="77"/>
      <c r="M149" s="77"/>
      <c r="N149" s="77" t="s">
        <v>174</v>
      </c>
    </row>
    <row r="150" spans="1:14" ht="26.45">
      <c r="A150" s="58" t="s">
        <v>175</v>
      </c>
      <c r="B150" s="59" t="s">
        <v>151</v>
      </c>
      <c r="C150" s="59" t="s">
        <v>125</v>
      </c>
      <c r="D150" s="59" t="s">
        <v>147</v>
      </c>
      <c r="E150" s="59"/>
      <c r="F150" s="59"/>
      <c r="G150" s="59" t="s">
        <v>148</v>
      </c>
      <c r="H150" s="59"/>
      <c r="I150" s="59"/>
      <c r="J150" s="77"/>
      <c r="K150" s="77"/>
      <c r="L150" s="77"/>
      <c r="M150" s="77"/>
      <c r="N150" s="77" t="s">
        <v>176</v>
      </c>
    </row>
    <row r="151" spans="1:14" ht="26.45">
      <c r="A151" s="58" t="s">
        <v>177</v>
      </c>
      <c r="B151" s="59" t="s">
        <v>151</v>
      </c>
      <c r="C151" s="59" t="s">
        <v>125</v>
      </c>
      <c r="D151" s="59" t="s">
        <v>147</v>
      </c>
      <c r="E151" s="59"/>
      <c r="F151" s="59"/>
      <c r="G151" s="59" t="s">
        <v>148</v>
      </c>
      <c r="H151" s="59"/>
      <c r="I151" s="59"/>
      <c r="J151" s="77"/>
      <c r="K151" s="77"/>
      <c r="L151" s="77"/>
      <c r="M151" s="77"/>
      <c r="N151" s="77" t="s">
        <v>178</v>
      </c>
    </row>
    <row r="152" spans="1:14" ht="26.45">
      <c r="A152" s="58" t="s">
        <v>179</v>
      </c>
      <c r="B152" s="59" t="s">
        <v>151</v>
      </c>
      <c r="C152" s="59" t="s">
        <v>125</v>
      </c>
      <c r="D152" s="59" t="s">
        <v>147</v>
      </c>
      <c r="E152" s="59"/>
      <c r="F152" s="59"/>
      <c r="G152" s="59" t="s">
        <v>148</v>
      </c>
      <c r="H152" s="59"/>
      <c r="I152" s="59"/>
      <c r="J152" s="77"/>
      <c r="K152" s="77"/>
      <c r="L152" s="77"/>
      <c r="M152" s="77"/>
      <c r="N152" s="77" t="s">
        <v>180</v>
      </c>
    </row>
    <row r="153" spans="1:14" ht="26.45">
      <c r="A153" s="58" t="s">
        <v>181</v>
      </c>
      <c r="B153" s="59" t="s">
        <v>182</v>
      </c>
      <c r="C153" s="59" t="s">
        <v>125</v>
      </c>
      <c r="D153" s="59" t="s">
        <v>147</v>
      </c>
      <c r="E153" s="59"/>
      <c r="F153" s="59"/>
      <c r="G153" s="59" t="s">
        <v>148</v>
      </c>
      <c r="H153" s="59"/>
      <c r="I153" s="59"/>
      <c r="J153" s="77"/>
      <c r="K153" s="77"/>
      <c r="L153" s="77"/>
      <c r="M153" s="77"/>
      <c r="N153" s="77" t="s">
        <v>183</v>
      </c>
    </row>
    <row r="154" spans="1:14" ht="26.45">
      <c r="A154" s="58" t="s">
        <v>184</v>
      </c>
      <c r="B154" s="59" t="s">
        <v>185</v>
      </c>
      <c r="C154" s="59" t="s">
        <v>125</v>
      </c>
      <c r="D154" s="59" t="s">
        <v>147</v>
      </c>
      <c r="E154" s="59"/>
      <c r="F154" s="59"/>
      <c r="G154" s="59" t="s">
        <v>148</v>
      </c>
      <c r="H154" s="59"/>
      <c r="I154" s="59"/>
      <c r="J154" s="77"/>
      <c r="K154" s="77"/>
      <c r="L154" s="77"/>
      <c r="M154" s="77"/>
      <c r="N154" s="77" t="s">
        <v>186</v>
      </c>
    </row>
    <row r="155" spans="1:14">
      <c r="A155" s="58" t="s">
        <v>187</v>
      </c>
      <c r="B155" s="59" t="s">
        <v>188</v>
      </c>
      <c r="C155" s="59" t="s">
        <v>125</v>
      </c>
      <c r="D155" s="59" t="s">
        <v>125</v>
      </c>
      <c r="E155" s="59"/>
      <c r="F155" s="59"/>
      <c r="G155" s="59" t="s">
        <v>148</v>
      </c>
      <c r="H155" s="59"/>
      <c r="I155" s="59"/>
      <c r="J155" s="77"/>
      <c r="K155" s="77"/>
      <c r="L155" s="77"/>
      <c r="M155" s="77"/>
      <c r="N155" s="77" t="s">
        <v>189</v>
      </c>
    </row>
    <row r="156" spans="1:14">
      <c r="A156" s="58" t="s">
        <v>190</v>
      </c>
      <c r="B156" s="59" t="s">
        <v>191</v>
      </c>
      <c r="C156" s="59" t="s">
        <v>125</v>
      </c>
      <c r="D156" s="59" t="s">
        <v>192</v>
      </c>
      <c r="E156" s="59"/>
      <c r="F156" s="59"/>
      <c r="G156" s="59" t="s">
        <v>148</v>
      </c>
      <c r="H156" s="59"/>
      <c r="I156" s="59"/>
      <c r="J156" s="77"/>
      <c r="K156" s="77"/>
      <c r="L156" s="77"/>
      <c r="M156" s="77"/>
      <c r="N156" s="77" t="s">
        <v>193</v>
      </c>
    </row>
    <row r="157" spans="1:14">
      <c r="A157" s="58"/>
      <c r="B157" s="59"/>
      <c r="C157" s="59"/>
      <c r="D157" s="59"/>
      <c r="E157" s="59"/>
      <c r="F157" s="59"/>
      <c r="G157" s="59"/>
      <c r="H157" s="59"/>
      <c r="I157" s="59"/>
      <c r="J157" s="77"/>
      <c r="K157" s="77"/>
      <c r="L157" s="77"/>
      <c r="M157" s="77"/>
      <c r="N157" s="77" t="s">
        <v>194</v>
      </c>
    </row>
    <row r="158" spans="1:14">
      <c r="A158" s="58"/>
      <c r="B158" s="59"/>
      <c r="C158" s="59"/>
      <c r="D158" s="59"/>
      <c r="E158" s="59"/>
      <c r="F158" s="59"/>
      <c r="G158" s="59"/>
      <c r="H158" s="59"/>
      <c r="I158" s="59"/>
      <c r="J158" s="77"/>
      <c r="K158" s="77"/>
      <c r="L158" s="77"/>
      <c r="M158" s="77"/>
      <c r="N158" s="77" t="s">
        <v>195</v>
      </c>
    </row>
    <row r="159" spans="1:14">
      <c r="A159" s="58"/>
      <c r="B159" s="59"/>
      <c r="C159" s="59"/>
      <c r="D159" s="59"/>
      <c r="E159" s="59"/>
      <c r="F159" s="59"/>
      <c r="G159" s="59"/>
      <c r="H159" s="59"/>
      <c r="I159" s="59"/>
      <c r="J159" s="77"/>
      <c r="K159" s="77"/>
      <c r="L159" s="77"/>
      <c r="M159" s="77"/>
      <c r="N159" s="77" t="s">
        <v>196</v>
      </c>
    </row>
    <row r="160" spans="1:14">
      <c r="A160" s="58"/>
      <c r="B160" s="59"/>
      <c r="C160" s="59"/>
      <c r="D160" s="59"/>
      <c r="E160" s="59"/>
      <c r="F160" s="59"/>
      <c r="G160" s="59"/>
      <c r="H160" s="59"/>
      <c r="I160" s="59"/>
      <c r="J160" s="77"/>
      <c r="K160" s="77"/>
      <c r="L160" s="77"/>
      <c r="M160" s="77"/>
      <c r="N160" s="77" t="s">
        <v>197</v>
      </c>
    </row>
    <row r="161" spans="1:14">
      <c r="A161" s="58"/>
      <c r="B161" s="59"/>
      <c r="C161" s="59"/>
      <c r="D161" s="59"/>
      <c r="E161" s="59"/>
      <c r="F161" s="59"/>
      <c r="G161" s="59"/>
      <c r="H161" s="59"/>
      <c r="I161" s="59"/>
      <c r="J161" s="77"/>
      <c r="K161" s="77"/>
      <c r="L161" s="77"/>
      <c r="M161" s="77"/>
      <c r="N161" s="77" t="s">
        <v>198</v>
      </c>
    </row>
    <row r="162" spans="1:14">
      <c r="A162" s="58"/>
      <c r="B162" s="59"/>
      <c r="C162" s="59"/>
      <c r="D162" s="59"/>
      <c r="E162" s="59"/>
      <c r="F162" s="59"/>
      <c r="G162" s="59"/>
      <c r="H162" s="59"/>
      <c r="I162" s="59"/>
      <c r="J162" s="77"/>
      <c r="K162" s="77"/>
      <c r="L162" s="77"/>
      <c r="M162" s="77"/>
      <c r="N162" s="77" t="s">
        <v>199</v>
      </c>
    </row>
    <row r="163" spans="1:14">
      <c r="A163" s="58"/>
      <c r="B163" s="59"/>
      <c r="C163" s="59"/>
      <c r="D163" s="59"/>
      <c r="E163" s="59"/>
      <c r="F163" s="59"/>
      <c r="G163" s="59"/>
      <c r="H163" s="59"/>
      <c r="I163" s="59"/>
      <c r="J163" s="77"/>
      <c r="K163" s="77"/>
      <c r="L163" s="77"/>
      <c r="M163" s="77"/>
      <c r="N163" s="77" t="s">
        <v>200</v>
      </c>
    </row>
    <row r="164" spans="1:14">
      <c r="A164" s="58"/>
      <c r="B164" s="59"/>
      <c r="C164" s="59"/>
      <c r="D164" s="59"/>
      <c r="E164" s="59"/>
      <c r="F164" s="59"/>
      <c r="G164" s="59"/>
      <c r="H164" s="59"/>
      <c r="I164" s="59"/>
      <c r="J164" s="77"/>
      <c r="K164" s="77"/>
      <c r="L164" s="77"/>
      <c r="M164" s="77"/>
      <c r="N164" s="77" t="s">
        <v>201</v>
      </c>
    </row>
    <row r="165" spans="1:14">
      <c r="A165" s="58"/>
      <c r="B165" s="59"/>
      <c r="C165" s="59"/>
      <c r="D165" s="59"/>
      <c r="E165" s="59"/>
      <c r="F165" s="59"/>
      <c r="G165" s="59"/>
      <c r="H165" s="59"/>
      <c r="I165" s="59"/>
      <c r="J165" s="77"/>
      <c r="K165" s="77"/>
      <c r="L165" s="77"/>
      <c r="M165" s="77"/>
      <c r="N165" s="77" t="s">
        <v>202</v>
      </c>
    </row>
    <row r="166" spans="1:14">
      <c r="A166" s="58"/>
      <c r="B166" s="59"/>
      <c r="C166" s="59"/>
      <c r="D166" s="59"/>
      <c r="E166" s="59"/>
      <c r="F166" s="59"/>
      <c r="G166" s="59"/>
      <c r="H166" s="59"/>
      <c r="I166" s="59"/>
      <c r="J166" s="77"/>
      <c r="K166" s="77"/>
      <c r="L166" s="77"/>
      <c r="M166" s="77"/>
      <c r="N166" s="77" t="s">
        <v>203</v>
      </c>
    </row>
    <row r="167" spans="1:14">
      <c r="A167" s="58"/>
      <c r="B167" s="59"/>
      <c r="C167" s="59"/>
      <c r="D167" s="59"/>
      <c r="E167" s="59"/>
      <c r="F167" s="59"/>
      <c r="G167" s="59"/>
      <c r="H167" s="59"/>
      <c r="I167" s="59"/>
      <c r="J167" s="77"/>
      <c r="K167" s="77"/>
      <c r="L167" s="77"/>
      <c r="M167" s="77"/>
      <c r="N167" s="77" t="s">
        <v>147</v>
      </c>
    </row>
    <row r="168" spans="1:14">
      <c r="A168" s="58"/>
      <c r="B168" s="59"/>
      <c r="C168" s="59"/>
      <c r="D168" s="59"/>
      <c r="E168" s="59"/>
      <c r="F168" s="59"/>
      <c r="G168" s="59"/>
      <c r="H168" s="59"/>
      <c r="I168" s="59"/>
      <c r="J168" s="77"/>
      <c r="K168" s="77"/>
      <c r="L168" s="77"/>
      <c r="M168" s="77"/>
      <c r="N168" s="77" t="s">
        <v>204</v>
      </c>
    </row>
    <row r="169" spans="1:14">
      <c r="A169" s="58"/>
      <c r="B169" s="59"/>
      <c r="C169" s="59"/>
      <c r="D169" s="59"/>
      <c r="E169" s="59"/>
      <c r="F169" s="59"/>
      <c r="G169" s="59"/>
      <c r="H169" s="59"/>
      <c r="I169" s="59"/>
      <c r="J169" s="77"/>
      <c r="K169" s="77"/>
      <c r="L169" s="77"/>
      <c r="M169" s="77"/>
      <c r="N169" s="77" t="s">
        <v>205</v>
      </c>
    </row>
    <row r="170" spans="1:14">
      <c r="A170" s="58"/>
      <c r="B170" s="59"/>
      <c r="C170" s="59"/>
      <c r="D170" s="59"/>
      <c r="E170" s="59"/>
      <c r="F170" s="59"/>
      <c r="G170" s="59"/>
      <c r="H170" s="59"/>
      <c r="I170" s="59"/>
      <c r="J170" s="77"/>
      <c r="K170" s="77"/>
      <c r="L170" s="77"/>
      <c r="M170" s="77"/>
      <c r="N170" s="77" t="s">
        <v>206</v>
      </c>
    </row>
    <row r="171" spans="1:14">
      <c r="A171" s="58"/>
      <c r="B171" s="59"/>
      <c r="C171" s="59"/>
      <c r="D171" s="59"/>
      <c r="E171" s="59"/>
      <c r="F171" s="59"/>
      <c r="G171" s="59"/>
      <c r="H171" s="59"/>
      <c r="I171" s="59"/>
      <c r="J171" s="77"/>
      <c r="K171" s="77"/>
      <c r="L171" s="77"/>
      <c r="M171" s="77"/>
      <c r="N171" s="77" t="s">
        <v>207</v>
      </c>
    </row>
    <row r="172" spans="1:14">
      <c r="A172" s="58"/>
      <c r="B172" s="59"/>
      <c r="C172" s="59"/>
      <c r="D172" s="59"/>
      <c r="E172" s="59"/>
      <c r="F172" s="59"/>
      <c r="G172" s="59"/>
      <c r="H172" s="59"/>
      <c r="I172" s="59"/>
      <c r="J172" s="77"/>
      <c r="K172" s="77"/>
      <c r="L172" s="77"/>
      <c r="M172" s="77"/>
      <c r="N172" s="77" t="s">
        <v>208</v>
      </c>
    </row>
    <row r="173" spans="1:14">
      <c r="A173" s="58"/>
      <c r="B173" s="59"/>
      <c r="C173" s="59"/>
      <c r="D173" s="59"/>
      <c r="E173" s="59"/>
      <c r="F173" s="59"/>
      <c r="G173" s="59"/>
      <c r="H173" s="59"/>
      <c r="I173" s="59"/>
      <c r="J173" s="77"/>
      <c r="K173" s="77"/>
      <c r="L173" s="77"/>
      <c r="M173" s="77"/>
      <c r="N173" s="77" t="s">
        <v>209</v>
      </c>
    </row>
    <row r="174" spans="1:14">
      <c r="A174" s="58"/>
      <c r="B174" s="59"/>
      <c r="C174" s="59"/>
      <c r="D174" s="59"/>
      <c r="E174" s="59"/>
      <c r="F174" s="59"/>
      <c r="G174" s="59"/>
      <c r="H174" s="59"/>
      <c r="I174" s="59"/>
      <c r="J174" s="77"/>
      <c r="K174" s="77"/>
      <c r="L174" s="77"/>
      <c r="M174" s="77"/>
      <c r="N174" s="77" t="s">
        <v>192</v>
      </c>
    </row>
    <row r="175" spans="1:14">
      <c r="A175" s="58"/>
      <c r="B175" s="59"/>
      <c r="C175" s="59"/>
      <c r="D175" s="59"/>
      <c r="E175" s="59"/>
      <c r="F175" s="59"/>
      <c r="G175" s="59"/>
      <c r="H175" s="59"/>
      <c r="I175" s="59"/>
      <c r="J175" s="77"/>
      <c r="K175" s="77"/>
      <c r="L175" s="77"/>
      <c r="M175" s="77"/>
      <c r="N175" s="77" t="s">
        <v>210</v>
      </c>
    </row>
    <row r="176" spans="1:14">
      <c r="A176" s="58"/>
      <c r="B176" s="59"/>
      <c r="C176" s="59"/>
      <c r="D176" s="59"/>
      <c r="E176" s="59"/>
      <c r="F176" s="59"/>
      <c r="G176" s="59"/>
      <c r="H176" s="59"/>
      <c r="I176" s="59"/>
      <c r="J176" s="77"/>
      <c r="K176" s="77"/>
      <c r="L176" s="77"/>
      <c r="M176" s="77"/>
      <c r="N176" s="77" t="s">
        <v>211</v>
      </c>
    </row>
    <row r="177" spans="1:14">
      <c r="A177" s="58"/>
      <c r="B177" s="59"/>
      <c r="C177" s="59"/>
      <c r="D177" s="59"/>
      <c r="E177" s="59"/>
      <c r="F177" s="59"/>
      <c r="G177" s="59"/>
      <c r="H177" s="59"/>
      <c r="I177" s="59"/>
      <c r="J177" s="77"/>
      <c r="K177" s="77"/>
      <c r="L177" s="77"/>
      <c r="M177" s="77"/>
      <c r="N177" s="77" t="s">
        <v>212</v>
      </c>
    </row>
    <row r="178" spans="1:14">
      <c r="A178" s="58"/>
      <c r="B178" s="59"/>
      <c r="C178" s="59"/>
      <c r="D178" s="59"/>
      <c r="E178" s="59"/>
      <c r="F178" s="59"/>
      <c r="G178" s="59"/>
      <c r="H178" s="59"/>
      <c r="I178" s="59"/>
      <c r="J178" s="77"/>
      <c r="K178" s="77"/>
      <c r="L178" s="77"/>
      <c r="M178" s="77"/>
      <c r="N178" s="77" t="s">
        <v>213</v>
      </c>
    </row>
    <row r="179" spans="1:14">
      <c r="A179" s="58"/>
      <c r="B179" s="59"/>
      <c r="C179" s="59"/>
      <c r="D179" s="59"/>
      <c r="E179" s="59"/>
      <c r="F179" s="59"/>
      <c r="G179" s="59"/>
      <c r="H179" s="59"/>
      <c r="I179" s="59"/>
      <c r="J179" s="77"/>
      <c r="K179" s="77"/>
      <c r="L179" s="77"/>
      <c r="M179" s="77"/>
      <c r="N179" s="77" t="s">
        <v>214</v>
      </c>
    </row>
    <row r="180" spans="1:14">
      <c r="A180" s="58"/>
      <c r="B180" s="59"/>
      <c r="C180" s="59"/>
      <c r="D180" s="59"/>
      <c r="E180" s="59"/>
      <c r="F180" s="59"/>
      <c r="G180" s="59"/>
      <c r="H180" s="59"/>
      <c r="I180" s="59"/>
      <c r="J180" s="77"/>
      <c r="K180" s="77"/>
      <c r="L180" s="77"/>
      <c r="M180" s="77"/>
      <c r="N180" s="77" t="s">
        <v>215</v>
      </c>
    </row>
    <row r="181" spans="1:14">
      <c r="A181" s="58"/>
      <c r="B181" s="59"/>
      <c r="C181" s="59"/>
      <c r="D181" s="59"/>
      <c r="E181" s="59"/>
      <c r="F181" s="59"/>
      <c r="G181" s="59"/>
      <c r="H181" s="59"/>
      <c r="I181" s="59"/>
      <c r="J181" s="77"/>
      <c r="K181" s="77"/>
      <c r="L181" s="77"/>
      <c r="M181" s="77"/>
      <c r="N181" s="77" t="s">
        <v>216</v>
      </c>
    </row>
    <row r="182" spans="1:14">
      <c r="A182" s="58"/>
      <c r="B182" s="59"/>
      <c r="C182" s="59"/>
      <c r="D182" s="59"/>
      <c r="E182" s="59"/>
      <c r="F182" s="59"/>
      <c r="G182" s="59"/>
      <c r="H182" s="59"/>
      <c r="I182" s="59"/>
      <c r="J182" s="77"/>
      <c r="K182" s="77"/>
      <c r="L182" s="77"/>
      <c r="M182" s="77"/>
      <c r="N182" s="77" t="s">
        <v>217</v>
      </c>
    </row>
    <row r="183" spans="1:14">
      <c r="A183" s="58"/>
      <c r="B183" s="59"/>
      <c r="C183" s="59"/>
      <c r="D183" s="59"/>
      <c r="E183" s="59"/>
      <c r="F183" s="59"/>
      <c r="G183" s="59"/>
      <c r="H183" s="59"/>
      <c r="I183" s="59"/>
      <c r="J183" s="77"/>
      <c r="K183" s="77"/>
      <c r="L183" s="77"/>
      <c r="M183" s="77"/>
      <c r="N183" s="77" t="s">
        <v>218</v>
      </c>
    </row>
    <row r="184" spans="1:14">
      <c r="A184" s="58"/>
      <c r="B184" s="59"/>
      <c r="C184" s="59"/>
      <c r="D184" s="59"/>
      <c r="E184" s="59"/>
      <c r="F184" s="59"/>
      <c r="G184" s="59"/>
      <c r="H184" s="59"/>
      <c r="I184" s="59"/>
      <c r="J184" s="77"/>
      <c r="K184" s="77"/>
      <c r="L184" s="77"/>
      <c r="M184" s="77"/>
      <c r="N184" s="77" t="s">
        <v>219</v>
      </c>
    </row>
    <row r="185" spans="1:14">
      <c r="A185" s="58"/>
      <c r="B185" s="59"/>
      <c r="C185" s="59"/>
      <c r="D185" s="59"/>
      <c r="E185" s="59"/>
      <c r="F185" s="59"/>
      <c r="G185" s="59"/>
      <c r="H185" s="59"/>
      <c r="I185" s="59"/>
      <c r="J185" s="77"/>
      <c r="K185" s="77"/>
      <c r="L185" s="77"/>
      <c r="M185" s="77"/>
      <c r="N185" s="77" t="s">
        <v>220</v>
      </c>
    </row>
    <row r="186" spans="1:14">
      <c r="A186" s="58"/>
      <c r="B186" s="59"/>
      <c r="C186" s="59"/>
      <c r="D186" s="59"/>
      <c r="E186" s="59"/>
      <c r="F186" s="59"/>
      <c r="G186" s="59"/>
      <c r="H186" s="59"/>
      <c r="I186" s="59"/>
      <c r="J186" s="77"/>
      <c r="K186" s="77"/>
      <c r="L186" s="77"/>
      <c r="M186" s="77"/>
      <c r="N186" s="77" t="s">
        <v>221</v>
      </c>
    </row>
    <row r="187" spans="1:14">
      <c r="A187" s="58"/>
      <c r="B187" s="59"/>
      <c r="C187" s="59"/>
      <c r="D187" s="59"/>
      <c r="E187" s="59"/>
      <c r="F187" s="59"/>
      <c r="G187" s="59"/>
      <c r="H187" s="59"/>
      <c r="I187" s="59"/>
      <c r="J187" s="77"/>
      <c r="K187" s="77"/>
      <c r="L187" s="77"/>
      <c r="M187" s="77"/>
      <c r="N187" s="77" t="s">
        <v>222</v>
      </c>
    </row>
    <row r="188" spans="1:14">
      <c r="A188" s="58"/>
      <c r="B188" s="59"/>
      <c r="C188" s="59"/>
      <c r="D188" s="59"/>
      <c r="E188" s="59"/>
      <c r="F188" s="59"/>
      <c r="G188" s="59"/>
      <c r="H188" s="59"/>
      <c r="I188" s="59"/>
      <c r="J188" s="77"/>
      <c r="K188" s="77"/>
      <c r="L188" s="77"/>
      <c r="M188" s="77"/>
      <c r="N188" s="77" t="s">
        <v>223</v>
      </c>
    </row>
    <row r="189" spans="1:14">
      <c r="A189" s="58"/>
      <c r="B189" s="59"/>
      <c r="C189" s="59"/>
      <c r="D189" s="59"/>
      <c r="E189" s="59"/>
      <c r="F189" s="59"/>
      <c r="G189" s="59"/>
      <c r="H189" s="59"/>
      <c r="I189" s="59"/>
      <c r="J189" s="77"/>
      <c r="K189" s="77"/>
      <c r="L189" s="77"/>
      <c r="M189" s="77"/>
      <c r="N189" s="77" t="s">
        <v>224</v>
      </c>
    </row>
    <row r="190" spans="1:14">
      <c r="A190" s="58"/>
      <c r="B190" s="59"/>
      <c r="C190" s="59"/>
      <c r="D190" s="59"/>
      <c r="E190" s="59"/>
      <c r="F190" s="59"/>
      <c r="G190" s="59"/>
      <c r="H190" s="59"/>
      <c r="I190" s="59"/>
      <c r="J190" s="77"/>
      <c r="K190" s="77"/>
      <c r="L190" s="77"/>
      <c r="M190" s="77"/>
      <c r="N190" s="77" t="s">
        <v>225</v>
      </c>
    </row>
    <row r="191" spans="1:14">
      <c r="A191" s="58"/>
      <c r="B191" s="59"/>
      <c r="C191" s="59"/>
      <c r="D191" s="59"/>
      <c r="E191" s="59"/>
      <c r="F191" s="59"/>
      <c r="G191" s="59"/>
      <c r="H191" s="59"/>
      <c r="I191" s="59"/>
      <c r="J191" s="77"/>
      <c r="K191" s="77"/>
      <c r="L191" s="77"/>
      <c r="M191" s="77"/>
      <c r="N191" s="77" t="s">
        <v>226</v>
      </c>
    </row>
    <row r="192" spans="1:14">
      <c r="A192" s="58"/>
      <c r="B192" s="59"/>
      <c r="C192" s="59"/>
      <c r="D192" s="59"/>
      <c r="E192" s="59"/>
      <c r="F192" s="59"/>
      <c r="G192" s="59"/>
      <c r="H192" s="59"/>
      <c r="I192" s="59"/>
      <c r="J192" s="77"/>
      <c r="K192" s="77"/>
      <c r="L192" s="77"/>
      <c r="M192" s="77"/>
      <c r="N192" s="77" t="s">
        <v>227</v>
      </c>
    </row>
    <row r="193" spans="1:14">
      <c r="A193" s="58"/>
      <c r="B193" s="59"/>
      <c r="C193" s="59"/>
      <c r="D193" s="59"/>
      <c r="E193" s="59"/>
      <c r="F193" s="59"/>
      <c r="G193" s="59"/>
      <c r="H193" s="59"/>
      <c r="I193" s="59"/>
      <c r="J193" s="77"/>
      <c r="K193" s="77"/>
      <c r="L193" s="77"/>
      <c r="M193" s="77"/>
      <c r="N193" s="77" t="s">
        <v>228</v>
      </c>
    </row>
    <row r="194" spans="1:14">
      <c r="A194" s="58"/>
      <c r="B194" s="59"/>
      <c r="C194" s="59"/>
      <c r="D194" s="59"/>
      <c r="E194" s="59"/>
      <c r="F194" s="59"/>
      <c r="G194" s="59"/>
      <c r="H194" s="59"/>
      <c r="I194" s="59"/>
      <c r="J194" s="77"/>
      <c r="K194" s="77"/>
      <c r="L194" s="77"/>
      <c r="M194" s="77"/>
      <c r="N194" s="77" t="s">
        <v>229</v>
      </c>
    </row>
    <row r="195" spans="1:14">
      <c r="A195" s="58"/>
      <c r="B195" s="59"/>
      <c r="C195" s="59"/>
      <c r="D195" s="59"/>
      <c r="E195" s="59"/>
      <c r="F195" s="59"/>
      <c r="G195" s="59"/>
      <c r="H195" s="59"/>
      <c r="I195" s="59"/>
      <c r="J195" s="77"/>
      <c r="K195" s="77"/>
      <c r="L195" s="77"/>
      <c r="M195" s="77"/>
      <c r="N195" s="77" t="s">
        <v>230</v>
      </c>
    </row>
    <row r="196" spans="1:14">
      <c r="A196" s="58"/>
      <c r="B196" s="59"/>
      <c r="C196" s="59"/>
      <c r="D196" s="59"/>
      <c r="E196" s="59"/>
      <c r="F196" s="59"/>
      <c r="G196" s="59"/>
      <c r="H196" s="59"/>
      <c r="I196" s="59"/>
      <c r="J196" s="77"/>
      <c r="K196" s="77"/>
      <c r="L196" s="77"/>
      <c r="M196" s="77"/>
      <c r="N196" s="77" t="s">
        <v>231</v>
      </c>
    </row>
    <row r="197" spans="1:14">
      <c r="A197" s="58"/>
      <c r="B197" s="59"/>
      <c r="C197" s="59"/>
      <c r="D197" s="59"/>
      <c r="E197" s="59"/>
      <c r="F197" s="59"/>
      <c r="G197" s="59"/>
      <c r="H197" s="59"/>
      <c r="I197" s="59"/>
      <c r="J197" s="77"/>
      <c r="K197" s="77"/>
      <c r="L197" s="77"/>
      <c r="M197" s="77"/>
      <c r="N197" s="77" t="s">
        <v>232</v>
      </c>
    </row>
    <row r="198" spans="1:14">
      <c r="A198" s="58"/>
      <c r="B198" s="59"/>
      <c r="C198" s="59"/>
      <c r="D198" s="59"/>
      <c r="E198" s="59"/>
      <c r="F198" s="59"/>
      <c r="G198" s="59"/>
      <c r="H198" s="59"/>
      <c r="I198" s="59"/>
      <c r="J198" s="77"/>
      <c r="K198" s="77"/>
      <c r="L198" s="77"/>
      <c r="M198" s="77"/>
      <c r="N198" s="77" t="s">
        <v>233</v>
      </c>
    </row>
    <row r="199" spans="1:14">
      <c r="A199" s="58"/>
      <c r="B199" s="59"/>
      <c r="C199" s="59"/>
      <c r="D199" s="59"/>
      <c r="E199" s="59"/>
      <c r="F199" s="59"/>
      <c r="G199" s="59"/>
      <c r="H199" s="59"/>
      <c r="I199" s="59"/>
      <c r="J199" s="77"/>
      <c r="K199" s="77"/>
      <c r="L199" s="77"/>
      <c r="M199" s="77"/>
      <c r="N199" s="77" t="s">
        <v>234</v>
      </c>
    </row>
    <row r="200" spans="1:14">
      <c r="A200" s="58"/>
      <c r="B200" s="59"/>
      <c r="C200" s="59"/>
      <c r="D200" s="59"/>
      <c r="E200" s="59"/>
      <c r="F200" s="59"/>
      <c r="G200" s="59"/>
      <c r="H200" s="59"/>
      <c r="I200" s="59"/>
      <c r="J200" s="77"/>
      <c r="K200" s="77"/>
      <c r="L200" s="77"/>
      <c r="M200" s="77"/>
      <c r="N200" s="77" t="s">
        <v>235</v>
      </c>
    </row>
    <row r="201" spans="1:14">
      <c r="A201" s="58"/>
      <c r="B201" s="59"/>
      <c r="C201" s="59"/>
      <c r="D201" s="59"/>
      <c r="E201" s="59"/>
      <c r="F201" s="59"/>
      <c r="G201" s="59"/>
      <c r="H201" s="59"/>
      <c r="I201" s="59"/>
      <c r="J201" s="77"/>
      <c r="K201" s="77"/>
      <c r="L201" s="77"/>
      <c r="M201" s="77"/>
      <c r="N201" s="77" t="s">
        <v>236</v>
      </c>
    </row>
    <row r="202" spans="1:14">
      <c r="A202" s="58"/>
      <c r="B202" s="59"/>
      <c r="C202" s="59"/>
      <c r="D202" s="59"/>
      <c r="E202" s="59"/>
      <c r="F202" s="59"/>
      <c r="G202" s="59"/>
      <c r="H202" s="59"/>
      <c r="I202" s="59"/>
      <c r="J202" s="77"/>
      <c r="K202" s="77"/>
      <c r="L202" s="77"/>
      <c r="M202" s="77"/>
      <c r="N202" s="77" t="s">
        <v>237</v>
      </c>
    </row>
    <row r="203" spans="1:14">
      <c r="A203" s="58"/>
      <c r="B203" s="59"/>
      <c r="C203" s="59"/>
      <c r="D203" s="59"/>
      <c r="E203" s="59"/>
      <c r="F203" s="59"/>
      <c r="G203" s="59"/>
      <c r="H203" s="59"/>
      <c r="I203" s="59"/>
      <c r="J203" s="77"/>
      <c r="K203" s="77"/>
      <c r="L203" s="77"/>
      <c r="M203" s="77"/>
      <c r="N203" s="77" t="s">
        <v>238</v>
      </c>
    </row>
    <row r="204" spans="1:14">
      <c r="A204" s="58"/>
      <c r="B204" s="59"/>
      <c r="C204" s="59"/>
      <c r="D204" s="59"/>
      <c r="E204" s="59"/>
      <c r="F204" s="59"/>
      <c r="G204" s="59"/>
      <c r="H204" s="59"/>
      <c r="I204" s="59"/>
      <c r="J204" s="77"/>
      <c r="K204" s="77"/>
      <c r="L204" s="77"/>
      <c r="M204" s="77"/>
      <c r="N204" s="77" t="s">
        <v>239</v>
      </c>
    </row>
    <row r="205" spans="1:14">
      <c r="A205" s="58"/>
      <c r="B205" s="59"/>
      <c r="C205" s="59"/>
      <c r="D205" s="59"/>
      <c r="E205" s="59"/>
      <c r="F205" s="59"/>
      <c r="G205" s="59"/>
      <c r="H205" s="59"/>
      <c r="I205" s="59"/>
      <c r="J205" s="77"/>
      <c r="K205" s="77"/>
      <c r="L205" s="77"/>
      <c r="M205" s="77"/>
      <c r="N205" s="77" t="s">
        <v>240</v>
      </c>
    </row>
    <row r="206" spans="1:14">
      <c r="A206" s="58"/>
      <c r="B206" s="59"/>
      <c r="C206" s="59"/>
      <c r="D206" s="59"/>
      <c r="E206" s="59"/>
      <c r="F206" s="59"/>
      <c r="G206" s="59"/>
      <c r="H206" s="59"/>
      <c r="I206" s="59"/>
      <c r="J206" s="77"/>
      <c r="K206" s="77"/>
      <c r="L206" s="77"/>
      <c r="M206" s="77"/>
      <c r="N206" s="77" t="s">
        <v>241</v>
      </c>
    </row>
    <row r="207" spans="1:14">
      <c r="A207" s="58"/>
      <c r="B207" s="59"/>
      <c r="C207" s="59"/>
      <c r="D207" s="59"/>
      <c r="E207" s="59"/>
      <c r="F207" s="59"/>
      <c r="G207" s="59"/>
      <c r="H207" s="59"/>
      <c r="I207" s="59"/>
      <c r="J207" s="77"/>
      <c r="K207" s="77"/>
      <c r="L207" s="77"/>
      <c r="M207" s="77"/>
      <c r="N207" s="77" t="s">
        <v>242</v>
      </c>
    </row>
    <row r="208" spans="1:14">
      <c r="A208" s="58"/>
      <c r="B208" s="59"/>
      <c r="C208" s="59"/>
      <c r="D208" s="59"/>
      <c r="E208" s="59"/>
      <c r="F208" s="59"/>
      <c r="G208" s="59"/>
      <c r="H208" s="59"/>
      <c r="I208" s="59"/>
      <c r="J208" s="77"/>
      <c r="K208" s="77"/>
      <c r="L208" s="77"/>
      <c r="M208" s="77"/>
      <c r="N208" s="77" t="s">
        <v>243</v>
      </c>
    </row>
    <row r="209" spans="1:14">
      <c r="A209" s="58"/>
      <c r="B209" s="59"/>
      <c r="C209" s="59"/>
      <c r="D209" s="59"/>
      <c r="E209" s="59"/>
      <c r="F209" s="59"/>
      <c r="G209" s="59"/>
      <c r="H209" s="59"/>
      <c r="I209" s="59"/>
      <c r="J209" s="77"/>
      <c r="K209" s="77"/>
      <c r="L209" s="77"/>
      <c r="M209" s="77"/>
      <c r="N209" s="77" t="s">
        <v>244</v>
      </c>
    </row>
    <row r="210" spans="1:14">
      <c r="A210" s="58"/>
      <c r="B210" s="59"/>
      <c r="C210" s="59"/>
      <c r="D210" s="59"/>
      <c r="E210" s="59"/>
      <c r="F210" s="59"/>
      <c r="G210" s="59"/>
      <c r="H210" s="59"/>
      <c r="I210" s="59"/>
      <c r="J210" s="77"/>
      <c r="K210" s="77"/>
      <c r="L210" s="77"/>
      <c r="M210" s="77"/>
      <c r="N210" s="77" t="s">
        <v>245</v>
      </c>
    </row>
    <row r="211" spans="1:14">
      <c r="A211" s="58"/>
      <c r="B211" s="59"/>
      <c r="C211" s="59"/>
      <c r="D211" s="59"/>
      <c r="E211" s="59"/>
      <c r="F211" s="59"/>
      <c r="G211" s="59"/>
      <c r="H211" s="59"/>
      <c r="I211" s="59"/>
      <c r="J211" s="77"/>
      <c r="K211" s="77"/>
      <c r="L211" s="61"/>
      <c r="M211" s="61"/>
      <c r="N211" s="77" t="s">
        <v>246</v>
      </c>
    </row>
    <row r="212" spans="1:14">
      <c r="A212" s="58"/>
      <c r="B212" s="59"/>
      <c r="C212" s="59"/>
      <c r="D212" s="59"/>
      <c r="E212" s="59"/>
      <c r="F212" s="59"/>
      <c r="G212" s="59"/>
      <c r="H212" s="59"/>
      <c r="I212" s="59"/>
      <c r="J212" s="77"/>
      <c r="K212" s="77"/>
      <c r="L212" s="77"/>
      <c r="M212" s="77"/>
      <c r="N212" s="77" t="s">
        <v>247</v>
      </c>
    </row>
    <row r="213" spans="1:14">
      <c r="A213" s="58"/>
      <c r="B213" s="59"/>
      <c r="C213" s="59"/>
      <c r="D213" s="59"/>
      <c r="E213" s="59"/>
      <c r="F213" s="59"/>
      <c r="G213" s="59"/>
      <c r="H213" s="59"/>
      <c r="I213" s="59"/>
      <c r="J213" s="77"/>
      <c r="K213" s="77"/>
      <c r="L213" s="77"/>
      <c r="M213" s="77"/>
      <c r="N213" s="77" t="s">
        <v>248</v>
      </c>
    </row>
    <row r="214" spans="1:14">
      <c r="A214" s="58"/>
      <c r="B214" s="59"/>
      <c r="C214" s="59"/>
      <c r="D214" s="59"/>
      <c r="E214" s="59"/>
      <c r="F214" s="59"/>
      <c r="G214" s="59"/>
      <c r="H214" s="59"/>
      <c r="I214" s="59"/>
      <c r="J214" s="77"/>
      <c r="K214" s="77"/>
      <c r="L214" s="77"/>
      <c r="M214" s="77"/>
      <c r="N214" s="77" t="s">
        <v>249</v>
      </c>
    </row>
    <row r="215" spans="1:14">
      <c r="A215" s="58"/>
      <c r="B215" s="59"/>
      <c r="C215" s="59"/>
      <c r="D215" s="59"/>
      <c r="E215" s="59"/>
      <c r="F215" s="59"/>
      <c r="G215" s="59"/>
      <c r="H215" s="59"/>
      <c r="I215" s="59"/>
      <c r="J215" s="77"/>
      <c r="K215" s="77"/>
      <c r="L215" s="77"/>
      <c r="M215" s="77"/>
      <c r="N215" s="77" t="s">
        <v>250</v>
      </c>
    </row>
    <row r="216" spans="1:14">
      <c r="A216" s="58"/>
      <c r="B216" s="59"/>
      <c r="C216" s="59"/>
      <c r="D216" s="59"/>
      <c r="E216" s="59"/>
      <c r="F216" s="59"/>
      <c r="G216" s="59"/>
      <c r="H216" s="59"/>
      <c r="I216" s="59"/>
      <c r="J216" s="77"/>
      <c r="K216" s="77"/>
      <c r="L216" s="77"/>
      <c r="M216" s="77"/>
      <c r="N216" s="77" t="s">
        <v>251</v>
      </c>
    </row>
    <row r="217" spans="1:14">
      <c r="A217" s="58"/>
      <c r="B217" s="59"/>
      <c r="C217" s="59"/>
      <c r="D217" s="59"/>
      <c r="E217" s="59"/>
      <c r="F217" s="59"/>
      <c r="G217" s="59"/>
      <c r="H217" s="59"/>
      <c r="I217" s="59"/>
      <c r="J217" s="77"/>
      <c r="K217" s="77"/>
      <c r="L217" s="77"/>
      <c r="M217" s="77"/>
      <c r="N217" s="77" t="s">
        <v>252</v>
      </c>
    </row>
    <row r="218" spans="1:14">
      <c r="A218" s="58"/>
      <c r="B218" s="59"/>
      <c r="C218" s="59"/>
      <c r="D218" s="59"/>
      <c r="E218" s="59"/>
      <c r="F218" s="59"/>
      <c r="G218" s="59"/>
      <c r="H218" s="59"/>
      <c r="I218" s="59"/>
      <c r="J218" s="77"/>
      <c r="K218" s="77"/>
      <c r="L218" s="77"/>
      <c r="M218" s="77"/>
      <c r="N218" s="77" t="s">
        <v>253</v>
      </c>
    </row>
    <row r="219" spans="1:14">
      <c r="A219" s="58"/>
      <c r="B219" s="59"/>
      <c r="C219" s="59"/>
      <c r="D219" s="59"/>
      <c r="E219" s="59"/>
      <c r="F219" s="59"/>
      <c r="G219" s="59"/>
      <c r="H219" s="59"/>
      <c r="I219" s="59"/>
      <c r="J219" s="77"/>
      <c r="K219" s="77"/>
      <c r="L219" s="77"/>
      <c r="M219" s="77"/>
      <c r="N219" s="77" t="s">
        <v>254</v>
      </c>
    </row>
    <row r="220" spans="1:14">
      <c r="A220" s="58"/>
      <c r="B220" s="59"/>
      <c r="C220" s="59"/>
      <c r="D220" s="59"/>
      <c r="E220" s="59"/>
      <c r="F220" s="59"/>
      <c r="G220" s="59"/>
      <c r="H220" s="59"/>
      <c r="I220" s="59"/>
      <c r="J220" s="77"/>
      <c r="K220" s="77"/>
      <c r="L220" s="77"/>
      <c r="M220" s="77"/>
      <c r="N220" s="77" t="s">
        <v>255</v>
      </c>
    </row>
    <row r="221" spans="1:14">
      <c r="A221" s="58"/>
      <c r="B221" s="59"/>
      <c r="C221" s="59"/>
      <c r="D221" s="59"/>
      <c r="E221" s="59"/>
      <c r="F221" s="59"/>
      <c r="G221" s="59"/>
      <c r="H221" s="59"/>
      <c r="I221" s="59"/>
      <c r="J221" s="77"/>
      <c r="K221" s="77"/>
      <c r="L221" s="77"/>
      <c r="M221" s="77"/>
      <c r="N221" s="77" t="s">
        <v>256</v>
      </c>
    </row>
    <row r="222" spans="1:14">
      <c r="A222" s="58"/>
      <c r="B222" s="59"/>
      <c r="C222" s="59"/>
      <c r="D222" s="59"/>
      <c r="E222" s="59"/>
      <c r="F222" s="59"/>
      <c r="G222" s="59"/>
      <c r="H222" s="59"/>
      <c r="I222" s="59"/>
      <c r="J222" s="77"/>
      <c r="K222" s="77"/>
      <c r="L222" s="77"/>
      <c r="M222" s="77"/>
      <c r="N222" s="77" t="s">
        <v>257</v>
      </c>
    </row>
    <row r="223" spans="1:14">
      <c r="A223" s="58"/>
      <c r="B223" s="59"/>
      <c r="C223" s="59"/>
      <c r="D223" s="59"/>
      <c r="E223" s="59"/>
      <c r="F223" s="59"/>
      <c r="G223" s="59"/>
      <c r="H223" s="59"/>
      <c r="I223" s="59"/>
      <c r="J223" s="77"/>
      <c r="K223" s="77"/>
      <c r="L223" s="77"/>
      <c r="M223" s="77"/>
      <c r="N223" s="77" t="s">
        <v>258</v>
      </c>
    </row>
    <row r="224" spans="1:14">
      <c r="A224" s="58"/>
      <c r="B224" s="59"/>
      <c r="C224" s="59"/>
      <c r="D224" s="59"/>
      <c r="E224" s="59"/>
      <c r="F224" s="59"/>
      <c r="G224" s="59"/>
      <c r="H224" s="59"/>
      <c r="I224" s="59"/>
      <c r="J224" s="77"/>
      <c r="K224" s="77"/>
      <c r="L224" s="77"/>
      <c r="M224" s="77"/>
      <c r="N224" s="77" t="s">
        <v>259</v>
      </c>
    </row>
    <row r="225" spans="1:14">
      <c r="A225" s="58"/>
      <c r="B225" s="59"/>
      <c r="C225" s="59"/>
      <c r="D225" s="59"/>
      <c r="E225" s="59"/>
      <c r="F225" s="59"/>
      <c r="G225" s="59"/>
      <c r="H225" s="59"/>
      <c r="I225" s="59"/>
      <c r="J225" s="77"/>
      <c r="K225" s="77"/>
      <c r="L225" s="77"/>
      <c r="M225" s="77"/>
      <c r="N225" s="77" t="s">
        <v>260</v>
      </c>
    </row>
    <row r="226" spans="1:14">
      <c r="A226" s="58"/>
      <c r="B226" s="59"/>
      <c r="C226" s="59"/>
      <c r="D226" s="59"/>
      <c r="E226" s="59"/>
      <c r="F226" s="59"/>
      <c r="G226" s="59"/>
      <c r="H226" s="59"/>
      <c r="I226" s="59"/>
      <c r="J226" s="77"/>
      <c r="K226" s="77"/>
      <c r="L226" s="77"/>
      <c r="M226" s="77"/>
      <c r="N226" s="77" t="s">
        <v>261</v>
      </c>
    </row>
    <row r="227" spans="1:14">
      <c r="A227" s="58"/>
      <c r="B227" s="59"/>
      <c r="C227" s="59"/>
      <c r="D227" s="59"/>
      <c r="E227" s="59"/>
      <c r="F227" s="59"/>
      <c r="G227" s="59"/>
      <c r="H227" s="59"/>
      <c r="I227" s="59"/>
      <c r="J227" s="77"/>
      <c r="K227" s="77"/>
      <c r="L227" s="77"/>
      <c r="M227" s="77"/>
      <c r="N227" s="77" t="s">
        <v>262</v>
      </c>
    </row>
    <row r="228" spans="1:14">
      <c r="A228" s="58"/>
      <c r="B228" s="59"/>
      <c r="C228" s="59"/>
      <c r="D228" s="59"/>
      <c r="E228" s="59"/>
      <c r="F228" s="59"/>
      <c r="G228" s="59"/>
      <c r="H228" s="59"/>
      <c r="I228" s="59"/>
      <c r="J228" s="77"/>
      <c r="K228" s="77"/>
      <c r="L228" s="77"/>
      <c r="M228" s="77"/>
      <c r="N228" s="77" t="s">
        <v>263</v>
      </c>
    </row>
    <row r="229" spans="1:14">
      <c r="A229" s="58"/>
      <c r="B229" s="59"/>
      <c r="C229" s="59"/>
      <c r="D229" s="59"/>
      <c r="E229" s="59"/>
      <c r="F229" s="59"/>
      <c r="G229" s="59"/>
      <c r="H229" s="59"/>
      <c r="I229" s="59"/>
      <c r="J229" s="77"/>
      <c r="K229" s="77"/>
      <c r="L229" s="77"/>
      <c r="M229" s="77"/>
      <c r="N229" s="77" t="s">
        <v>264</v>
      </c>
    </row>
    <row r="230" spans="1:14">
      <c r="A230" s="58"/>
      <c r="B230" s="59"/>
      <c r="C230" s="59"/>
      <c r="D230" s="59"/>
      <c r="E230" s="59"/>
      <c r="F230" s="59"/>
      <c r="G230" s="59"/>
      <c r="H230" s="59"/>
      <c r="I230" s="59"/>
      <c r="J230" s="77"/>
      <c r="K230" s="77"/>
      <c r="L230" s="77"/>
      <c r="M230" s="77"/>
      <c r="N230" s="77" t="s">
        <v>265</v>
      </c>
    </row>
    <row r="231" spans="1:14">
      <c r="A231" s="58"/>
      <c r="B231" s="59"/>
      <c r="C231" s="59"/>
      <c r="D231" s="59"/>
      <c r="E231" s="59"/>
      <c r="F231" s="59"/>
      <c r="G231" s="59"/>
      <c r="H231" s="59"/>
      <c r="I231" s="59"/>
      <c r="J231" s="77"/>
      <c r="K231" s="77"/>
      <c r="L231" s="77"/>
      <c r="M231" s="77"/>
      <c r="N231" s="77" t="s">
        <v>266</v>
      </c>
    </row>
    <row r="232" spans="1:14">
      <c r="A232" s="58"/>
      <c r="B232" s="59"/>
      <c r="C232" s="59"/>
      <c r="D232" s="59"/>
      <c r="E232" s="59"/>
      <c r="F232" s="59"/>
      <c r="G232" s="59"/>
      <c r="H232" s="59"/>
      <c r="I232" s="59"/>
      <c r="J232" s="77"/>
      <c r="K232" s="77"/>
      <c r="L232" s="77"/>
      <c r="M232" s="77"/>
      <c r="N232" s="77" t="s">
        <v>267</v>
      </c>
    </row>
    <row r="233" spans="1:14">
      <c r="A233" s="58"/>
      <c r="B233" s="59"/>
      <c r="C233" s="59"/>
      <c r="D233" s="59"/>
      <c r="E233" s="59"/>
      <c r="F233" s="59"/>
      <c r="G233" s="59"/>
      <c r="H233" s="59"/>
      <c r="I233" s="59"/>
      <c r="J233" s="77"/>
      <c r="K233" s="77"/>
      <c r="L233" s="77"/>
      <c r="M233" s="77"/>
      <c r="N233" s="77" t="s">
        <v>268</v>
      </c>
    </row>
    <row r="234" spans="1:14">
      <c r="A234" s="58"/>
      <c r="B234" s="59"/>
      <c r="C234" s="59"/>
      <c r="D234" s="59"/>
      <c r="E234" s="59"/>
      <c r="F234" s="59"/>
      <c r="G234" s="59"/>
      <c r="H234" s="59"/>
      <c r="I234" s="59"/>
      <c r="J234" s="77"/>
      <c r="K234" s="77"/>
      <c r="L234" s="77"/>
      <c r="M234" s="77"/>
      <c r="N234" s="77" t="s">
        <v>269</v>
      </c>
    </row>
    <row r="235" spans="1:14">
      <c r="A235" s="58"/>
      <c r="B235" s="59"/>
      <c r="C235" s="59"/>
      <c r="D235" s="59"/>
      <c r="E235" s="59"/>
      <c r="F235" s="59"/>
      <c r="G235" s="59"/>
      <c r="H235" s="59"/>
      <c r="I235" s="59"/>
      <c r="J235" s="77"/>
      <c r="K235" s="77"/>
      <c r="L235" s="77"/>
      <c r="M235" s="77"/>
      <c r="N235" s="77" t="s">
        <v>270</v>
      </c>
    </row>
    <row r="236" spans="1:14">
      <c r="A236" s="58"/>
      <c r="B236" s="59"/>
      <c r="C236" s="59"/>
      <c r="D236" s="59"/>
      <c r="E236" s="59"/>
      <c r="F236" s="59"/>
      <c r="G236" s="59"/>
      <c r="H236" s="59"/>
      <c r="I236" s="59"/>
      <c r="J236" s="77"/>
      <c r="K236" s="77"/>
      <c r="L236" s="77"/>
      <c r="M236" s="77"/>
      <c r="N236" s="77" t="s">
        <v>271</v>
      </c>
    </row>
    <row r="237" spans="1:14">
      <c r="A237" s="58"/>
      <c r="B237" s="59"/>
      <c r="C237" s="59"/>
      <c r="D237" s="59"/>
      <c r="E237" s="59"/>
      <c r="F237" s="59"/>
      <c r="G237" s="59"/>
      <c r="H237" s="59"/>
      <c r="I237" s="59"/>
      <c r="J237" s="77"/>
      <c r="K237" s="77"/>
      <c r="L237" s="77"/>
      <c r="M237" s="77"/>
      <c r="N237" s="77" t="s">
        <v>272</v>
      </c>
    </row>
    <row r="238" spans="1:14">
      <c r="A238" s="58"/>
      <c r="B238" s="59"/>
      <c r="C238" s="59"/>
      <c r="D238" s="59"/>
      <c r="E238" s="59"/>
      <c r="F238" s="59"/>
      <c r="G238" s="59"/>
      <c r="H238" s="59"/>
      <c r="I238" s="59"/>
      <c r="J238" s="77"/>
      <c r="K238" s="77"/>
      <c r="L238" s="77"/>
      <c r="M238" s="77"/>
      <c r="N238" s="77" t="s">
        <v>273</v>
      </c>
    </row>
    <row r="239" spans="1:14">
      <c r="A239" s="58"/>
      <c r="B239" s="59"/>
      <c r="C239" s="59"/>
      <c r="D239" s="59"/>
      <c r="E239" s="59"/>
      <c r="F239" s="59"/>
      <c r="G239" s="59"/>
      <c r="H239" s="59"/>
      <c r="I239" s="59"/>
      <c r="J239" s="77"/>
      <c r="K239" s="77"/>
      <c r="L239" s="77"/>
      <c r="M239" s="77"/>
      <c r="N239" s="77" t="s">
        <v>274</v>
      </c>
    </row>
    <row r="240" spans="1:14">
      <c r="A240" s="58"/>
      <c r="B240" s="59"/>
      <c r="C240" s="59"/>
      <c r="D240" s="59"/>
      <c r="E240" s="59"/>
      <c r="F240" s="59"/>
      <c r="G240" s="59"/>
      <c r="H240" s="59"/>
      <c r="I240" s="59"/>
      <c r="J240" s="77"/>
      <c r="K240" s="77"/>
      <c r="L240" s="77"/>
      <c r="M240" s="77"/>
      <c r="N240" s="77" t="s">
        <v>275</v>
      </c>
    </row>
    <row r="241" spans="1:14">
      <c r="A241" s="58"/>
      <c r="B241" s="59"/>
      <c r="C241" s="59"/>
      <c r="D241" s="59"/>
      <c r="E241" s="59"/>
      <c r="F241" s="59"/>
      <c r="G241" s="59"/>
      <c r="H241" s="59"/>
      <c r="I241" s="59"/>
      <c r="J241" s="77"/>
      <c r="K241" s="77"/>
      <c r="L241" s="77"/>
      <c r="M241" s="77"/>
      <c r="N241" s="77" t="s">
        <v>276</v>
      </c>
    </row>
    <row r="242" spans="1:14">
      <c r="A242" s="58"/>
      <c r="B242" s="59"/>
      <c r="C242" s="59"/>
      <c r="D242" s="59"/>
      <c r="E242" s="59"/>
      <c r="F242" s="59"/>
      <c r="G242" s="59"/>
      <c r="H242" s="59"/>
      <c r="I242" s="59"/>
      <c r="J242" s="77"/>
      <c r="K242" s="77"/>
      <c r="L242" s="77"/>
      <c r="M242" s="77"/>
      <c r="N242" s="77" t="s">
        <v>277</v>
      </c>
    </row>
    <row r="243" spans="1:14">
      <c r="A243" s="58"/>
      <c r="B243" s="59"/>
      <c r="C243" s="59"/>
      <c r="D243" s="59"/>
      <c r="E243" s="59"/>
      <c r="F243" s="59"/>
      <c r="G243" s="59"/>
      <c r="H243" s="59"/>
      <c r="I243" s="59"/>
      <c r="J243" s="77"/>
      <c r="K243" s="77"/>
      <c r="L243" s="77"/>
      <c r="M243" s="77"/>
      <c r="N243" s="77" t="s">
        <v>278</v>
      </c>
    </row>
    <row r="244" spans="1:14">
      <c r="A244" s="58"/>
      <c r="B244" s="59"/>
      <c r="C244" s="59"/>
      <c r="D244" s="59"/>
      <c r="E244" s="59"/>
      <c r="F244" s="59"/>
      <c r="G244" s="59"/>
      <c r="H244" s="59"/>
      <c r="I244" s="59"/>
      <c r="J244" s="77"/>
      <c r="K244" s="77"/>
      <c r="L244" s="77"/>
      <c r="M244" s="77"/>
      <c r="N244" s="77" t="s">
        <v>279</v>
      </c>
    </row>
    <row r="245" spans="1:14">
      <c r="A245" s="58"/>
      <c r="B245" s="59"/>
      <c r="C245" s="59"/>
      <c r="D245" s="59"/>
      <c r="E245" s="59"/>
      <c r="F245" s="59"/>
      <c r="G245" s="59"/>
      <c r="H245" s="59"/>
      <c r="I245" s="59"/>
      <c r="J245" s="77"/>
      <c r="K245" s="77"/>
      <c r="L245" s="77"/>
      <c r="M245" s="77"/>
      <c r="N245" s="77" t="s">
        <v>280</v>
      </c>
    </row>
    <row r="246" spans="1:14">
      <c r="A246" s="58"/>
      <c r="B246" s="59"/>
      <c r="C246" s="59"/>
      <c r="D246" s="59"/>
      <c r="E246" s="59"/>
      <c r="F246" s="59"/>
      <c r="G246" s="59"/>
      <c r="H246" s="59"/>
      <c r="I246" s="59"/>
      <c r="J246" s="77"/>
      <c r="K246" s="77"/>
      <c r="L246" s="77"/>
      <c r="M246" s="77"/>
      <c r="N246" s="77" t="s">
        <v>281</v>
      </c>
    </row>
    <row r="247" spans="1:14">
      <c r="A247" s="58"/>
      <c r="B247" s="59"/>
      <c r="C247" s="59"/>
      <c r="D247" s="59"/>
      <c r="E247" s="59"/>
      <c r="F247" s="59"/>
      <c r="G247" s="59"/>
      <c r="H247" s="59"/>
      <c r="I247" s="59"/>
      <c r="J247" s="77"/>
      <c r="K247" s="77"/>
      <c r="L247" s="77"/>
      <c r="M247" s="77"/>
      <c r="N247" s="77" t="s">
        <v>282</v>
      </c>
    </row>
    <row r="248" spans="1:14">
      <c r="A248" s="58"/>
      <c r="B248" s="59"/>
      <c r="C248" s="59"/>
      <c r="D248" s="59"/>
      <c r="E248" s="59"/>
      <c r="F248" s="59"/>
      <c r="G248" s="59"/>
      <c r="H248" s="59"/>
      <c r="I248" s="59"/>
      <c r="J248" s="77"/>
      <c r="K248" s="77"/>
      <c r="L248" s="77"/>
      <c r="M248" s="77"/>
      <c r="N248" s="77" t="s">
        <v>283</v>
      </c>
    </row>
    <row r="249" spans="1:14">
      <c r="A249" s="58"/>
      <c r="B249" s="59"/>
      <c r="C249" s="59"/>
      <c r="D249" s="59"/>
      <c r="E249" s="59"/>
      <c r="F249" s="59"/>
      <c r="G249" s="59"/>
      <c r="H249" s="59"/>
      <c r="I249" s="59"/>
      <c r="J249" s="77"/>
      <c r="K249" s="77"/>
      <c r="L249" s="77"/>
      <c r="M249" s="77"/>
      <c r="N249" s="77" t="s">
        <v>284</v>
      </c>
    </row>
    <row r="250" spans="1:14">
      <c r="A250" s="58"/>
      <c r="B250" s="59"/>
      <c r="C250" s="59"/>
      <c r="D250" s="59"/>
      <c r="E250" s="59"/>
      <c r="F250" s="59"/>
      <c r="G250" s="59"/>
      <c r="H250" s="59"/>
      <c r="I250" s="59"/>
      <c r="J250" s="77"/>
      <c r="K250" s="77"/>
      <c r="L250" s="77"/>
      <c r="M250" s="77"/>
      <c r="N250" s="77" t="s">
        <v>285</v>
      </c>
    </row>
    <row r="251" spans="1:14">
      <c r="A251" s="58"/>
      <c r="B251" s="59"/>
      <c r="C251" s="59"/>
      <c r="D251" s="59"/>
      <c r="E251" s="59"/>
      <c r="F251" s="59"/>
      <c r="G251" s="59"/>
      <c r="H251" s="59"/>
      <c r="I251" s="59"/>
      <c r="J251" s="77"/>
      <c r="K251" s="77"/>
      <c r="L251" s="77"/>
      <c r="M251" s="77"/>
      <c r="N251" s="77" t="s">
        <v>286</v>
      </c>
    </row>
    <row r="252" spans="1:14">
      <c r="A252" s="58"/>
      <c r="B252" s="59"/>
      <c r="C252" s="59"/>
      <c r="D252" s="59"/>
      <c r="E252" s="59"/>
      <c r="F252" s="59"/>
      <c r="G252" s="59"/>
      <c r="H252" s="59"/>
      <c r="I252" s="59"/>
      <c r="J252" s="77"/>
      <c r="K252" s="77"/>
      <c r="L252" s="77"/>
      <c r="M252" s="77"/>
      <c r="N252" s="77" t="s">
        <v>287</v>
      </c>
    </row>
    <row r="253" spans="1:14">
      <c r="A253" s="58"/>
      <c r="B253" s="59"/>
      <c r="C253" s="59"/>
      <c r="D253" s="59"/>
      <c r="E253" s="59"/>
      <c r="F253" s="59"/>
      <c r="G253" s="59"/>
      <c r="H253" s="59"/>
      <c r="I253" s="59"/>
      <c r="J253" s="77"/>
      <c r="K253" s="77"/>
      <c r="L253" s="77"/>
      <c r="M253" s="77"/>
      <c r="N253" s="77" t="s">
        <v>287</v>
      </c>
    </row>
    <row r="254" spans="1:14">
      <c r="A254" s="58"/>
      <c r="B254" s="59"/>
      <c r="C254" s="59"/>
      <c r="D254" s="59"/>
      <c r="E254" s="59"/>
      <c r="F254" s="59"/>
      <c r="G254" s="59"/>
      <c r="H254" s="59"/>
      <c r="I254" s="59"/>
      <c r="J254" s="77"/>
      <c r="K254" s="77"/>
      <c r="L254" s="77"/>
      <c r="M254" s="77"/>
      <c r="N254" s="77" t="s">
        <v>288</v>
      </c>
    </row>
    <row r="255" spans="1:14">
      <c r="A255" s="58"/>
      <c r="B255" s="59"/>
      <c r="C255" s="59"/>
      <c r="D255" s="59"/>
      <c r="E255" s="59"/>
      <c r="F255" s="59"/>
      <c r="G255" s="59"/>
      <c r="H255" s="59"/>
      <c r="I255" s="59"/>
      <c r="J255" s="77"/>
      <c r="K255" s="77"/>
      <c r="L255" s="77"/>
      <c r="M255" s="77"/>
      <c r="N255" s="77" t="s">
        <v>289</v>
      </c>
    </row>
    <row r="256" spans="1:14">
      <c r="A256" s="58"/>
      <c r="B256" s="59"/>
      <c r="C256" s="59"/>
      <c r="D256" s="59"/>
      <c r="E256" s="59"/>
      <c r="F256" s="59"/>
      <c r="G256" s="59"/>
      <c r="H256" s="59"/>
      <c r="I256" s="59"/>
      <c r="J256" s="77"/>
      <c r="K256" s="77"/>
      <c r="L256" s="77"/>
      <c r="M256" s="77"/>
      <c r="N256" s="77" t="s">
        <v>290</v>
      </c>
    </row>
    <row r="257" spans="1:14">
      <c r="A257" s="58"/>
      <c r="B257" s="59"/>
      <c r="C257" s="59"/>
      <c r="D257" s="59"/>
      <c r="E257" s="59"/>
      <c r="F257" s="59"/>
      <c r="G257" s="59"/>
      <c r="H257" s="59"/>
      <c r="I257" s="59"/>
      <c r="J257" s="77"/>
      <c r="K257" s="77"/>
      <c r="L257" s="77"/>
      <c r="M257" s="77"/>
      <c r="N257" s="77" t="s">
        <v>291</v>
      </c>
    </row>
    <row r="258" spans="1:14">
      <c r="A258" s="58"/>
      <c r="B258" s="59"/>
      <c r="C258" s="59"/>
      <c r="D258" s="59"/>
      <c r="E258" s="59"/>
      <c r="F258" s="59"/>
      <c r="G258" s="59"/>
      <c r="H258" s="59"/>
      <c r="I258" s="59"/>
      <c r="J258" s="77"/>
      <c r="K258" s="77"/>
      <c r="L258" s="77"/>
      <c r="M258" s="77"/>
      <c r="N258" s="77" t="s">
        <v>292</v>
      </c>
    </row>
    <row r="259" spans="1:14">
      <c r="A259" s="58"/>
      <c r="B259" s="59"/>
      <c r="C259" s="59"/>
      <c r="D259" s="59"/>
      <c r="E259" s="59"/>
      <c r="F259" s="59"/>
      <c r="G259" s="59"/>
      <c r="H259" s="59"/>
      <c r="I259" s="59"/>
      <c r="J259" s="77"/>
      <c r="K259" s="77"/>
      <c r="L259" s="77"/>
      <c r="M259" s="77"/>
      <c r="N259" s="77" t="s">
        <v>293</v>
      </c>
    </row>
    <row r="260" spans="1:14">
      <c r="A260" s="58"/>
      <c r="B260" s="59"/>
      <c r="C260" s="59"/>
      <c r="D260" s="59"/>
      <c r="E260" s="59"/>
      <c r="F260" s="59"/>
      <c r="G260" s="59"/>
      <c r="H260" s="59"/>
      <c r="I260" s="59"/>
      <c r="J260" s="77"/>
      <c r="K260" s="77"/>
      <c r="L260" s="77"/>
      <c r="M260" s="77"/>
      <c r="N260" s="77" t="s">
        <v>294</v>
      </c>
    </row>
    <row r="261" spans="1:14">
      <c r="A261" s="58"/>
      <c r="B261" s="59"/>
      <c r="C261" s="59"/>
      <c r="D261" s="59"/>
      <c r="E261" s="59"/>
      <c r="F261" s="59"/>
      <c r="G261" s="59"/>
      <c r="H261" s="59"/>
      <c r="I261" s="59"/>
      <c r="J261" s="77"/>
      <c r="K261" s="77"/>
      <c r="L261" s="77"/>
      <c r="M261" s="77"/>
      <c r="N261" s="77" t="s">
        <v>295</v>
      </c>
    </row>
    <row r="262" spans="1:14">
      <c r="A262" s="58"/>
      <c r="B262" s="59"/>
      <c r="C262" s="59"/>
      <c r="D262" s="59"/>
      <c r="E262" s="59"/>
      <c r="F262" s="59"/>
      <c r="G262" s="59"/>
      <c r="H262" s="59"/>
      <c r="I262" s="59"/>
      <c r="J262" s="77"/>
      <c r="K262" s="77"/>
      <c r="L262" s="77"/>
      <c r="M262" s="77"/>
      <c r="N262" s="77" t="s">
        <v>296</v>
      </c>
    </row>
    <row r="263" spans="1:14">
      <c r="A263" s="58"/>
      <c r="B263" s="59"/>
      <c r="C263" s="59"/>
      <c r="D263" s="59"/>
      <c r="E263" s="59"/>
      <c r="F263" s="59"/>
      <c r="G263" s="59"/>
      <c r="H263" s="59"/>
      <c r="I263" s="59"/>
      <c r="J263" s="77"/>
      <c r="K263" s="77"/>
      <c r="L263" s="77"/>
      <c r="M263" s="77"/>
      <c r="N263" s="77" t="s">
        <v>297</v>
      </c>
    </row>
    <row r="264" spans="1:14">
      <c r="A264" s="58"/>
      <c r="B264" s="59"/>
      <c r="C264" s="59"/>
      <c r="D264" s="59"/>
      <c r="E264" s="59"/>
      <c r="F264" s="59"/>
      <c r="G264" s="59"/>
      <c r="H264" s="59"/>
      <c r="I264" s="59"/>
      <c r="J264" s="77"/>
      <c r="K264" s="77"/>
      <c r="L264" s="77"/>
      <c r="M264" s="77"/>
      <c r="N264" s="77" t="s">
        <v>298</v>
      </c>
    </row>
    <row r="265" spans="1:14">
      <c r="A265" s="58"/>
      <c r="B265" s="59"/>
      <c r="C265" s="59"/>
      <c r="D265" s="59"/>
      <c r="E265" s="59"/>
      <c r="F265" s="59"/>
      <c r="G265" s="59"/>
      <c r="H265" s="59"/>
      <c r="I265" s="59"/>
      <c r="J265" s="77"/>
      <c r="K265" s="77"/>
      <c r="L265" s="77"/>
      <c r="M265" s="77"/>
      <c r="N265" s="77" t="s">
        <v>299</v>
      </c>
    </row>
    <row r="266" spans="1:14">
      <c r="A266" s="58"/>
      <c r="B266" s="59"/>
      <c r="C266" s="59"/>
      <c r="D266" s="59"/>
      <c r="E266" s="59"/>
      <c r="F266" s="59"/>
      <c r="G266" s="59"/>
      <c r="H266" s="59"/>
      <c r="I266" s="59"/>
      <c r="J266" s="77"/>
      <c r="K266" s="77"/>
      <c r="L266" s="77"/>
      <c r="M266" s="77"/>
      <c r="N266" s="77" t="s">
        <v>300</v>
      </c>
    </row>
    <row r="267" spans="1:14">
      <c r="A267" s="58"/>
      <c r="B267" s="59"/>
      <c r="C267" s="59"/>
      <c r="D267" s="59"/>
      <c r="E267" s="59"/>
      <c r="F267" s="59"/>
      <c r="G267" s="59"/>
      <c r="H267" s="59"/>
      <c r="I267" s="59"/>
      <c r="J267" s="77"/>
      <c r="K267" s="77"/>
      <c r="L267" s="77"/>
      <c r="M267" s="77"/>
      <c r="N267" s="77" t="s">
        <v>301</v>
      </c>
    </row>
    <row r="268" spans="1:14">
      <c r="A268" s="58"/>
      <c r="B268" s="59"/>
      <c r="C268" s="59"/>
      <c r="D268" s="59"/>
      <c r="E268" s="59"/>
      <c r="F268" s="59"/>
      <c r="G268" s="59"/>
      <c r="H268" s="59"/>
      <c r="I268" s="59"/>
      <c r="J268" s="77"/>
      <c r="K268" s="77"/>
      <c r="L268" s="77"/>
      <c r="M268" s="77"/>
      <c r="N268" s="77" t="s">
        <v>302</v>
      </c>
    </row>
    <row r="269" spans="1:14">
      <c r="A269" s="58"/>
      <c r="B269" s="59"/>
      <c r="C269" s="59"/>
      <c r="D269" s="59"/>
      <c r="E269" s="59"/>
      <c r="F269" s="59"/>
      <c r="G269" s="59"/>
      <c r="H269" s="59"/>
      <c r="I269" s="59"/>
      <c r="J269" s="77"/>
      <c r="K269" s="77"/>
      <c r="L269" s="77"/>
      <c r="M269" s="77"/>
      <c r="N269" s="77" t="s">
        <v>303</v>
      </c>
    </row>
    <row r="270" spans="1:14">
      <c r="A270" s="58"/>
      <c r="B270" s="59"/>
      <c r="C270" s="59"/>
      <c r="D270" s="59"/>
      <c r="E270" s="59"/>
      <c r="F270" s="59"/>
      <c r="G270" s="59"/>
      <c r="H270" s="59"/>
      <c r="I270" s="59"/>
      <c r="J270" s="77"/>
      <c r="K270" s="77"/>
      <c r="L270" s="77"/>
      <c r="M270" s="77"/>
      <c r="N270" s="77" t="s">
        <v>304</v>
      </c>
    </row>
    <row r="271" spans="1:14">
      <c r="A271" s="58"/>
      <c r="B271" s="59"/>
      <c r="C271" s="59"/>
      <c r="D271" s="59"/>
      <c r="E271" s="59"/>
      <c r="F271" s="59"/>
      <c r="G271" s="59"/>
      <c r="H271" s="59"/>
      <c r="I271" s="59"/>
      <c r="J271" s="77"/>
      <c r="K271" s="77"/>
      <c r="L271" s="77"/>
      <c r="M271" s="77"/>
      <c r="N271" s="77" t="s">
        <v>305</v>
      </c>
    </row>
    <row r="272" spans="1:14">
      <c r="A272" s="58"/>
      <c r="B272" s="59"/>
      <c r="C272" s="59"/>
      <c r="D272" s="59"/>
      <c r="E272" s="59"/>
      <c r="F272" s="59"/>
      <c r="G272" s="59"/>
      <c r="H272" s="59"/>
      <c r="I272" s="59"/>
      <c r="J272" s="77"/>
      <c r="K272" s="77"/>
      <c r="L272" s="77"/>
      <c r="M272" s="77"/>
      <c r="N272" s="77" t="s">
        <v>306</v>
      </c>
    </row>
    <row r="273" spans="1:14">
      <c r="A273" s="58"/>
      <c r="B273" s="59"/>
      <c r="C273" s="59"/>
      <c r="D273" s="59"/>
      <c r="E273" s="59"/>
      <c r="F273" s="59"/>
      <c r="G273" s="59"/>
      <c r="H273" s="59"/>
      <c r="I273" s="59"/>
      <c r="J273" s="77"/>
      <c r="K273" s="77"/>
      <c r="L273" s="77"/>
      <c r="M273" s="77"/>
      <c r="N273" s="77" t="s">
        <v>307</v>
      </c>
    </row>
    <row r="274" spans="1:14">
      <c r="A274" s="58"/>
      <c r="B274" s="59"/>
      <c r="C274" s="59"/>
      <c r="D274" s="59"/>
      <c r="E274" s="59"/>
      <c r="F274" s="59"/>
      <c r="G274" s="59"/>
      <c r="H274" s="59"/>
      <c r="I274" s="59"/>
      <c r="J274" s="77"/>
      <c r="K274" s="77"/>
      <c r="L274" s="77"/>
      <c r="M274" s="77"/>
      <c r="N274" s="77" t="s">
        <v>308</v>
      </c>
    </row>
    <row r="275" spans="1:14">
      <c r="A275" s="58"/>
      <c r="B275" s="59"/>
      <c r="C275" s="59"/>
      <c r="D275" s="59"/>
      <c r="E275" s="59"/>
      <c r="F275" s="59"/>
      <c r="G275" s="59"/>
      <c r="H275" s="59"/>
      <c r="I275" s="59"/>
      <c r="J275" s="77"/>
      <c r="K275" s="77"/>
      <c r="L275" s="77"/>
      <c r="M275" s="77"/>
      <c r="N275" s="77" t="s">
        <v>309</v>
      </c>
    </row>
    <row r="276" spans="1:14">
      <c r="A276" s="58"/>
      <c r="B276" s="59"/>
      <c r="C276" s="59"/>
      <c r="D276" s="59"/>
      <c r="E276" s="59"/>
      <c r="F276" s="59"/>
      <c r="G276" s="59"/>
      <c r="H276" s="59"/>
      <c r="I276" s="59"/>
      <c r="J276" s="77"/>
      <c r="K276" s="77"/>
      <c r="L276" s="77"/>
      <c r="M276" s="77"/>
      <c r="N276" s="77" t="s">
        <v>310</v>
      </c>
    </row>
    <row r="277" spans="1:14">
      <c r="A277" s="58"/>
      <c r="B277" s="59"/>
      <c r="C277" s="59"/>
      <c r="D277" s="59"/>
      <c r="E277" s="59"/>
      <c r="F277" s="59"/>
      <c r="G277" s="59"/>
      <c r="H277" s="59"/>
      <c r="I277" s="59"/>
      <c r="J277" s="77"/>
      <c r="K277" s="77"/>
      <c r="L277" s="77"/>
      <c r="M277" s="77"/>
      <c r="N277" s="77" t="s">
        <v>311</v>
      </c>
    </row>
    <row r="278" spans="1:14">
      <c r="A278" s="58"/>
      <c r="B278" s="59"/>
      <c r="C278" s="59"/>
      <c r="D278" s="59"/>
      <c r="E278" s="59"/>
      <c r="F278" s="59"/>
      <c r="G278" s="59"/>
      <c r="H278" s="59"/>
      <c r="I278" s="59"/>
      <c r="J278" s="77"/>
      <c r="K278" s="77"/>
      <c r="L278" s="77"/>
      <c r="M278" s="77"/>
      <c r="N278" s="77" t="s">
        <v>312</v>
      </c>
    </row>
    <row r="279" spans="1:14">
      <c r="A279" s="58"/>
      <c r="B279" s="59"/>
      <c r="C279" s="59"/>
      <c r="D279" s="59"/>
      <c r="E279" s="59"/>
      <c r="F279" s="59"/>
      <c r="G279" s="59"/>
      <c r="H279" s="59"/>
      <c r="I279" s="59"/>
      <c r="J279" s="77"/>
      <c r="K279" s="77"/>
      <c r="L279" s="77"/>
      <c r="M279" s="77"/>
      <c r="N279" s="77" t="s">
        <v>313</v>
      </c>
    </row>
    <row r="280" spans="1:14">
      <c r="A280" s="58"/>
      <c r="B280" s="59"/>
      <c r="C280" s="59"/>
      <c r="D280" s="59"/>
      <c r="E280" s="59"/>
      <c r="F280" s="59"/>
      <c r="G280" s="59"/>
      <c r="H280" s="59"/>
      <c r="I280" s="59"/>
      <c r="J280" s="77"/>
      <c r="K280" s="77"/>
      <c r="L280" s="77"/>
      <c r="M280" s="77"/>
      <c r="N280" s="77" t="s">
        <v>314</v>
      </c>
    </row>
    <row r="281" spans="1:14">
      <c r="A281" s="58"/>
      <c r="B281" s="59"/>
      <c r="C281" s="59"/>
      <c r="D281" s="59"/>
      <c r="E281" s="59"/>
      <c r="F281" s="59"/>
      <c r="G281" s="59"/>
      <c r="H281" s="59"/>
      <c r="I281" s="59"/>
      <c r="J281" s="77"/>
      <c r="K281" s="77"/>
      <c r="L281" s="77"/>
      <c r="M281" s="77"/>
      <c r="N281" s="77" t="s">
        <v>315</v>
      </c>
    </row>
    <row r="282" spans="1:14">
      <c r="A282" s="58"/>
      <c r="B282" s="59"/>
      <c r="C282" s="59"/>
      <c r="D282" s="59"/>
      <c r="E282" s="59"/>
      <c r="F282" s="59"/>
      <c r="G282" s="59"/>
      <c r="H282" s="59"/>
      <c r="I282" s="59"/>
      <c r="J282" s="77"/>
      <c r="K282" s="77"/>
      <c r="L282" s="77"/>
      <c r="M282" s="77"/>
      <c r="N282" s="77" t="s">
        <v>316</v>
      </c>
    </row>
    <row r="283" spans="1:14">
      <c r="A283" s="58"/>
      <c r="B283" s="59"/>
      <c r="C283" s="59"/>
      <c r="D283" s="59"/>
      <c r="E283" s="59"/>
      <c r="F283" s="59"/>
      <c r="G283" s="59"/>
      <c r="H283" s="59"/>
      <c r="I283" s="59"/>
      <c r="J283" s="77"/>
      <c r="K283" s="77"/>
      <c r="L283" s="77"/>
      <c r="M283" s="77"/>
      <c r="N283" s="77" t="s">
        <v>317</v>
      </c>
    </row>
    <row r="284" spans="1:14">
      <c r="A284" s="58"/>
      <c r="B284" s="59"/>
      <c r="C284" s="59"/>
      <c r="D284" s="59"/>
      <c r="E284" s="59"/>
      <c r="F284" s="59"/>
      <c r="G284" s="59"/>
      <c r="H284" s="59"/>
      <c r="I284" s="59"/>
      <c r="J284" s="77"/>
      <c r="K284" s="77"/>
      <c r="L284" s="77"/>
      <c r="M284" s="77"/>
      <c r="N284" s="77" t="s">
        <v>318</v>
      </c>
    </row>
    <row r="285" spans="1:14">
      <c r="A285" s="58"/>
      <c r="B285" s="59"/>
      <c r="C285" s="59"/>
      <c r="D285" s="59"/>
      <c r="E285" s="59"/>
      <c r="F285" s="59"/>
      <c r="G285" s="59"/>
      <c r="H285" s="59"/>
      <c r="I285" s="59"/>
      <c r="J285" s="77"/>
      <c r="K285" s="77"/>
      <c r="L285" s="77"/>
      <c r="M285" s="77"/>
      <c r="N285" s="77" t="s">
        <v>319</v>
      </c>
    </row>
    <row r="286" spans="1:14">
      <c r="A286" s="58"/>
      <c r="B286" s="59"/>
      <c r="C286" s="59"/>
      <c r="D286" s="59"/>
      <c r="E286" s="59"/>
      <c r="F286" s="59"/>
      <c r="G286" s="59"/>
      <c r="H286" s="59"/>
      <c r="I286" s="59"/>
      <c r="J286" s="77"/>
      <c r="K286" s="77"/>
      <c r="L286" s="77"/>
      <c r="M286" s="77"/>
      <c r="N286" s="77" t="s">
        <v>320</v>
      </c>
    </row>
    <row r="287" spans="1:14">
      <c r="A287" s="58"/>
      <c r="B287" s="59"/>
      <c r="C287" s="59"/>
      <c r="D287" s="59"/>
      <c r="E287" s="59"/>
      <c r="F287" s="59"/>
      <c r="G287" s="59"/>
      <c r="H287" s="59"/>
      <c r="I287" s="59"/>
      <c r="J287" s="77"/>
      <c r="K287" s="77"/>
      <c r="L287" s="77"/>
      <c r="M287" s="77"/>
      <c r="N287" s="77" t="s">
        <v>321</v>
      </c>
    </row>
    <row r="288" spans="1:14">
      <c r="A288" s="58"/>
      <c r="B288" s="59"/>
      <c r="C288" s="59"/>
      <c r="D288" s="59"/>
      <c r="E288" s="59"/>
      <c r="F288" s="59"/>
      <c r="G288" s="59"/>
      <c r="H288" s="59"/>
      <c r="I288" s="59"/>
      <c r="J288" s="77"/>
      <c r="K288" s="77"/>
      <c r="L288" s="77"/>
      <c r="M288" s="77"/>
      <c r="N288" s="77" t="s">
        <v>322</v>
      </c>
    </row>
    <row r="289" spans="1:14">
      <c r="A289" s="58"/>
      <c r="B289" s="59"/>
      <c r="C289" s="59"/>
      <c r="D289" s="59"/>
      <c r="E289" s="59"/>
      <c r="F289" s="59"/>
      <c r="G289" s="59"/>
      <c r="H289" s="59"/>
      <c r="I289" s="59"/>
      <c r="J289" s="77"/>
      <c r="K289" s="77"/>
      <c r="L289" s="77"/>
      <c r="M289" s="77"/>
      <c r="N289" s="77" t="s">
        <v>323</v>
      </c>
    </row>
    <row r="290" spans="1:14">
      <c r="A290" s="58"/>
      <c r="B290" s="59"/>
      <c r="C290" s="59"/>
      <c r="D290" s="59"/>
      <c r="E290" s="59"/>
      <c r="F290" s="59"/>
      <c r="G290" s="59"/>
      <c r="H290" s="59"/>
      <c r="I290" s="59"/>
      <c r="J290" s="77"/>
      <c r="K290" s="77"/>
      <c r="L290" s="77"/>
      <c r="M290" s="77"/>
      <c r="N290" s="77" t="s">
        <v>324</v>
      </c>
    </row>
    <row r="291" spans="1:14">
      <c r="A291" s="58"/>
      <c r="B291" s="59"/>
      <c r="C291" s="59"/>
      <c r="D291" s="59"/>
      <c r="E291" s="59"/>
      <c r="F291" s="59"/>
      <c r="G291" s="59"/>
      <c r="H291" s="59"/>
      <c r="I291" s="59"/>
      <c r="J291" s="77"/>
      <c r="K291" s="77"/>
      <c r="L291" s="77"/>
      <c r="M291" s="77"/>
      <c r="N291" s="77" t="s">
        <v>325</v>
      </c>
    </row>
    <row r="292" spans="1:14">
      <c r="A292" s="58"/>
      <c r="B292" s="59"/>
      <c r="C292" s="59"/>
      <c r="D292" s="59"/>
      <c r="E292" s="59"/>
      <c r="F292" s="59"/>
      <c r="G292" s="59"/>
      <c r="H292" s="59"/>
      <c r="I292" s="59"/>
      <c r="J292" s="77"/>
      <c r="K292" s="77"/>
      <c r="L292" s="77"/>
      <c r="M292" s="77"/>
      <c r="N292" s="77" t="s">
        <v>326</v>
      </c>
    </row>
    <row r="293" spans="1:14">
      <c r="A293" s="58"/>
      <c r="B293" s="59"/>
      <c r="C293" s="59"/>
      <c r="D293" s="59"/>
      <c r="E293" s="59"/>
      <c r="F293" s="59"/>
      <c r="G293" s="59"/>
      <c r="H293" s="59"/>
      <c r="I293" s="59"/>
      <c r="J293" s="77"/>
      <c r="K293" s="77"/>
      <c r="L293" s="77"/>
      <c r="M293" s="77"/>
      <c r="N293" s="77" t="s">
        <v>327</v>
      </c>
    </row>
    <row r="294" spans="1:14">
      <c r="A294" s="58"/>
      <c r="B294" s="59"/>
      <c r="C294" s="59"/>
      <c r="D294" s="59"/>
      <c r="E294" s="59"/>
      <c r="F294" s="59"/>
      <c r="G294" s="59"/>
      <c r="H294" s="59"/>
      <c r="I294" s="59"/>
      <c r="J294" s="77"/>
      <c r="K294" s="77"/>
      <c r="L294" s="77"/>
      <c r="M294" s="77"/>
      <c r="N294" s="77" t="s">
        <v>328</v>
      </c>
    </row>
    <row r="295" spans="1:14">
      <c r="A295" s="58"/>
      <c r="B295" s="59"/>
      <c r="C295" s="59"/>
      <c r="D295" s="59"/>
      <c r="E295" s="59"/>
      <c r="F295" s="59"/>
      <c r="G295" s="59"/>
      <c r="H295" s="59"/>
      <c r="I295" s="59"/>
      <c r="J295" s="77"/>
      <c r="K295" s="77"/>
      <c r="L295" s="77"/>
      <c r="M295" s="77"/>
      <c r="N295" s="77" t="s">
        <v>329</v>
      </c>
    </row>
    <row r="296" spans="1:14">
      <c r="A296" s="58"/>
      <c r="B296" s="59"/>
      <c r="C296" s="59"/>
      <c r="D296" s="59"/>
      <c r="E296" s="59"/>
      <c r="F296" s="59"/>
      <c r="G296" s="59"/>
      <c r="H296" s="59"/>
      <c r="I296" s="59"/>
      <c r="J296" s="77"/>
      <c r="K296" s="77"/>
      <c r="L296" s="77"/>
      <c r="M296" s="77"/>
      <c r="N296" s="77" t="s">
        <v>330</v>
      </c>
    </row>
    <row r="297" spans="1:14">
      <c r="A297" s="58"/>
      <c r="B297" s="59"/>
      <c r="C297" s="59"/>
      <c r="D297" s="59"/>
      <c r="E297" s="59"/>
      <c r="F297" s="59"/>
      <c r="G297" s="59"/>
      <c r="H297" s="59"/>
      <c r="I297" s="59"/>
      <c r="J297" s="77"/>
      <c r="K297" s="77"/>
      <c r="L297" s="77"/>
      <c r="M297" s="77"/>
      <c r="N297" s="77" t="s">
        <v>331</v>
      </c>
    </row>
    <row r="298" spans="1:14">
      <c r="A298" s="58"/>
      <c r="B298" s="59"/>
      <c r="C298" s="59"/>
      <c r="D298" s="59"/>
      <c r="E298" s="59"/>
      <c r="F298" s="59"/>
      <c r="G298" s="59"/>
      <c r="H298" s="59"/>
      <c r="I298" s="59"/>
      <c r="J298" s="77"/>
      <c r="K298" s="77"/>
      <c r="L298" s="77"/>
      <c r="M298" s="77"/>
      <c r="N298" s="77" t="s">
        <v>332</v>
      </c>
    </row>
    <row r="299" spans="1:14">
      <c r="A299" s="58"/>
      <c r="B299" s="59"/>
      <c r="C299" s="59"/>
      <c r="D299" s="59"/>
      <c r="E299" s="59"/>
      <c r="F299" s="59"/>
      <c r="G299" s="59"/>
      <c r="H299" s="59"/>
      <c r="I299" s="59"/>
      <c r="J299" s="77"/>
      <c r="K299" s="77"/>
      <c r="L299" s="77"/>
      <c r="M299" s="77"/>
      <c r="N299" s="77" t="s">
        <v>333</v>
      </c>
    </row>
    <row r="300" spans="1:14">
      <c r="A300" s="58"/>
      <c r="B300" s="59"/>
      <c r="C300" s="59"/>
      <c r="D300" s="59"/>
      <c r="E300" s="59"/>
      <c r="F300" s="59"/>
      <c r="G300" s="59"/>
      <c r="H300" s="59"/>
      <c r="I300" s="59"/>
      <c r="J300" s="77"/>
      <c r="K300" s="77"/>
      <c r="L300" s="77"/>
      <c r="M300" s="77"/>
      <c r="N300" s="77" t="s">
        <v>334</v>
      </c>
    </row>
    <row r="301" spans="1:14">
      <c r="A301" s="58"/>
      <c r="B301" s="59"/>
      <c r="C301" s="59"/>
      <c r="D301" s="59"/>
      <c r="E301" s="59"/>
      <c r="F301" s="59"/>
      <c r="G301" s="59"/>
      <c r="H301" s="59"/>
      <c r="I301" s="59"/>
      <c r="J301" s="77"/>
      <c r="K301" s="77"/>
      <c r="L301" s="77"/>
      <c r="M301" s="77"/>
      <c r="N301" s="77" t="s">
        <v>335</v>
      </c>
    </row>
    <row r="302" spans="1:14">
      <c r="A302" s="58"/>
      <c r="B302" s="59"/>
      <c r="C302" s="59"/>
      <c r="D302" s="59"/>
      <c r="E302" s="59"/>
      <c r="F302" s="59"/>
      <c r="G302" s="59"/>
      <c r="H302" s="59"/>
      <c r="I302" s="59"/>
      <c r="J302" s="77"/>
      <c r="K302" s="77"/>
      <c r="L302" s="77"/>
      <c r="M302" s="77"/>
      <c r="N302" s="77" t="s">
        <v>336</v>
      </c>
    </row>
    <row r="303" spans="1:14">
      <c r="A303" s="58"/>
      <c r="B303" s="59"/>
      <c r="C303" s="59"/>
      <c r="D303" s="59"/>
      <c r="E303" s="59"/>
      <c r="F303" s="59"/>
      <c r="G303" s="59"/>
      <c r="H303" s="59"/>
      <c r="I303" s="59"/>
      <c r="J303" s="77"/>
      <c r="K303" s="77"/>
      <c r="L303" s="77"/>
      <c r="M303" s="77"/>
      <c r="N303" s="77" t="s">
        <v>337</v>
      </c>
    </row>
    <row r="304" spans="1:14">
      <c r="A304" s="58"/>
      <c r="B304" s="59"/>
      <c r="C304" s="59"/>
      <c r="D304" s="59"/>
      <c r="E304" s="59"/>
      <c r="F304" s="59"/>
      <c r="G304" s="59"/>
      <c r="H304" s="59"/>
      <c r="I304" s="59"/>
      <c r="J304" s="77"/>
      <c r="K304" s="77"/>
      <c r="L304" s="77"/>
      <c r="M304" s="77"/>
      <c r="N304" s="77" t="s">
        <v>338</v>
      </c>
    </row>
    <row r="305" spans="1:14">
      <c r="A305" s="58"/>
      <c r="B305" s="59"/>
      <c r="C305" s="59"/>
      <c r="D305" s="59"/>
      <c r="E305" s="59"/>
      <c r="F305" s="59"/>
      <c r="G305" s="59"/>
      <c r="H305" s="59"/>
      <c r="I305" s="59"/>
      <c r="J305" s="77"/>
      <c r="K305" s="77"/>
      <c r="L305" s="77"/>
      <c r="M305" s="77"/>
      <c r="N305" s="77" t="s">
        <v>339</v>
      </c>
    </row>
    <row r="306" spans="1:14">
      <c r="A306" s="58"/>
      <c r="B306" s="59"/>
      <c r="C306" s="59"/>
      <c r="D306" s="59"/>
      <c r="E306" s="59"/>
      <c r="F306" s="59"/>
      <c r="G306" s="59"/>
      <c r="H306" s="59"/>
      <c r="I306" s="59"/>
      <c r="J306" s="77"/>
      <c r="K306" s="77"/>
      <c r="L306" s="77"/>
      <c r="M306" s="77"/>
      <c r="N306" s="77" t="s">
        <v>340</v>
      </c>
    </row>
    <row r="307" spans="1:14">
      <c r="A307" s="58"/>
      <c r="B307" s="59"/>
      <c r="C307" s="59"/>
      <c r="D307" s="59"/>
      <c r="E307" s="59"/>
      <c r="F307" s="59"/>
      <c r="G307" s="59"/>
      <c r="H307" s="59"/>
      <c r="I307" s="59"/>
      <c r="J307" s="77"/>
      <c r="K307" s="77"/>
      <c r="L307" s="77"/>
      <c r="M307" s="77"/>
      <c r="N307" s="77" t="s">
        <v>341</v>
      </c>
    </row>
    <row r="308" spans="1:14">
      <c r="A308" s="58"/>
      <c r="B308" s="59"/>
      <c r="C308" s="59"/>
      <c r="D308" s="59"/>
      <c r="E308" s="59"/>
      <c r="F308" s="59"/>
      <c r="G308" s="59"/>
      <c r="H308" s="59"/>
      <c r="I308" s="59"/>
      <c r="J308" s="77"/>
      <c r="K308" s="77"/>
      <c r="L308" s="77"/>
      <c r="M308" s="77"/>
      <c r="N308" s="77" t="s">
        <v>342</v>
      </c>
    </row>
    <row r="309" spans="1:14">
      <c r="A309" s="58"/>
      <c r="B309" s="59"/>
      <c r="C309" s="59"/>
      <c r="D309" s="59"/>
      <c r="E309" s="59"/>
      <c r="F309" s="59"/>
      <c r="G309" s="59"/>
      <c r="H309" s="59"/>
      <c r="I309" s="59"/>
      <c r="J309" s="77"/>
      <c r="K309" s="77"/>
      <c r="L309" s="77"/>
      <c r="M309" s="77"/>
      <c r="N309" s="77" t="s">
        <v>343</v>
      </c>
    </row>
    <row r="310" spans="1:14">
      <c r="A310" s="58"/>
      <c r="B310" s="59"/>
      <c r="C310" s="59"/>
      <c r="D310" s="59"/>
      <c r="E310" s="59"/>
      <c r="F310" s="59"/>
      <c r="G310" s="59"/>
      <c r="H310" s="59"/>
      <c r="I310" s="59"/>
      <c r="J310" s="77"/>
      <c r="K310" s="77"/>
      <c r="L310" s="77"/>
      <c r="M310" s="77"/>
      <c r="N310" s="77" t="s">
        <v>344</v>
      </c>
    </row>
    <row r="311" spans="1:14">
      <c r="A311" s="58"/>
      <c r="B311" s="59"/>
      <c r="C311" s="59"/>
      <c r="D311" s="59"/>
      <c r="E311" s="59"/>
      <c r="F311" s="59"/>
      <c r="G311" s="59"/>
      <c r="H311" s="59"/>
      <c r="I311" s="59"/>
      <c r="J311" s="77"/>
      <c r="K311" s="77"/>
      <c r="L311" s="77"/>
      <c r="M311" s="77"/>
      <c r="N311" s="77" t="s">
        <v>345</v>
      </c>
    </row>
    <row r="312" spans="1:14">
      <c r="A312" s="58"/>
      <c r="B312" s="59"/>
      <c r="C312" s="59"/>
      <c r="D312" s="59"/>
      <c r="E312" s="59"/>
      <c r="F312" s="59"/>
      <c r="G312" s="59"/>
      <c r="H312" s="59"/>
      <c r="I312" s="59"/>
      <c r="J312" s="77"/>
      <c r="K312" s="77"/>
      <c r="L312" s="77"/>
      <c r="M312" s="77"/>
      <c r="N312" s="77" t="s">
        <v>346</v>
      </c>
    </row>
    <row r="313" spans="1:14">
      <c r="A313" s="58"/>
      <c r="B313" s="59"/>
      <c r="C313" s="59"/>
      <c r="D313" s="59"/>
      <c r="E313" s="59"/>
      <c r="F313" s="59"/>
      <c r="G313" s="59"/>
      <c r="H313" s="77"/>
      <c r="I313" s="77"/>
      <c r="J313" s="77"/>
      <c r="K313" s="77"/>
      <c r="L313" s="77"/>
      <c r="M313" s="77"/>
      <c r="N313" s="77" t="s">
        <v>347</v>
      </c>
    </row>
    <row r="314" spans="1:14">
      <c r="A314" s="58"/>
      <c r="B314" s="59"/>
      <c r="C314" s="59"/>
      <c r="D314" s="59"/>
      <c r="E314" s="59"/>
      <c r="F314" s="59"/>
      <c r="G314" s="59"/>
      <c r="H314" s="77"/>
      <c r="I314" s="77"/>
      <c r="J314" s="77"/>
      <c r="K314" s="77"/>
      <c r="L314" s="77"/>
      <c r="M314" s="77"/>
      <c r="N314" s="77" t="s">
        <v>348</v>
      </c>
    </row>
    <row r="315" spans="1:14">
      <c r="A315" s="58"/>
      <c r="B315" s="59"/>
      <c r="C315" s="59"/>
      <c r="D315" s="59"/>
      <c r="E315" s="59"/>
      <c r="F315" s="59"/>
      <c r="G315" s="59"/>
      <c r="H315" s="77"/>
      <c r="I315" s="77"/>
      <c r="J315" s="77"/>
      <c r="K315" s="77"/>
      <c r="L315" s="77"/>
      <c r="M315" s="77"/>
      <c r="N315" s="77" t="s">
        <v>349</v>
      </c>
    </row>
    <row r="316" spans="1:14">
      <c r="A316" s="58"/>
      <c r="B316" s="59"/>
      <c r="C316" s="59"/>
      <c r="D316" s="59"/>
      <c r="E316" s="59"/>
      <c r="F316" s="59"/>
      <c r="G316" s="59"/>
      <c r="H316" s="77"/>
      <c r="I316" s="77"/>
      <c r="J316" s="77"/>
      <c r="K316" s="77"/>
      <c r="L316" s="77"/>
      <c r="M316" s="77"/>
      <c r="N316" s="77" t="s">
        <v>350</v>
      </c>
    </row>
    <row r="317" spans="1:14">
      <c r="A317" s="58"/>
      <c r="B317" s="59"/>
      <c r="C317" s="59"/>
      <c r="D317" s="59"/>
      <c r="E317" s="59"/>
      <c r="F317" s="59"/>
      <c r="G317" s="59"/>
      <c r="H317" s="77"/>
      <c r="I317" s="77"/>
      <c r="J317" s="77"/>
      <c r="K317" s="77"/>
      <c r="L317" s="77"/>
      <c r="M317" s="77"/>
      <c r="N317" s="77" t="s">
        <v>351</v>
      </c>
    </row>
    <row r="318" spans="1:14">
      <c r="A318" s="58"/>
      <c r="B318" s="59"/>
      <c r="C318" s="59"/>
      <c r="D318" s="59"/>
      <c r="E318" s="59"/>
      <c r="F318" s="59"/>
      <c r="G318" s="59"/>
      <c r="H318" s="77"/>
      <c r="I318" s="77"/>
      <c r="J318" s="77"/>
      <c r="K318" s="77"/>
      <c r="L318" s="77"/>
      <c r="M318" s="77"/>
      <c r="N318" s="77" t="s">
        <v>352</v>
      </c>
    </row>
    <row r="319" spans="1:14">
      <c r="A319" s="58"/>
      <c r="B319" s="59"/>
      <c r="C319" s="59"/>
      <c r="D319" s="59"/>
      <c r="E319" s="59"/>
      <c r="F319" s="59"/>
      <c r="G319" s="59"/>
      <c r="H319" s="77"/>
      <c r="I319" s="77"/>
      <c r="J319" s="77"/>
      <c r="K319" s="77"/>
      <c r="L319" s="77"/>
      <c r="M319" s="77"/>
      <c r="N319" s="77" t="s">
        <v>353</v>
      </c>
    </row>
    <row r="320" spans="1:14">
      <c r="A320" s="58"/>
      <c r="B320" s="59"/>
      <c r="C320" s="59"/>
      <c r="D320" s="59"/>
      <c r="E320" s="59"/>
      <c r="F320" s="59"/>
      <c r="G320" s="59"/>
      <c r="H320" s="77"/>
      <c r="I320" s="77"/>
      <c r="J320" s="77"/>
      <c r="K320" s="77"/>
      <c r="L320" s="77"/>
      <c r="M320" s="77"/>
      <c r="N320" s="77" t="s">
        <v>354</v>
      </c>
    </row>
    <row r="321" spans="1:14">
      <c r="A321" s="58"/>
      <c r="B321" s="59"/>
      <c r="C321" s="59"/>
      <c r="D321" s="59"/>
      <c r="E321" s="59"/>
      <c r="F321" s="59"/>
      <c r="G321" s="59"/>
      <c r="H321" s="77"/>
      <c r="I321" s="77"/>
      <c r="J321" s="77"/>
      <c r="K321" s="77"/>
      <c r="L321" s="77"/>
      <c r="M321" s="77"/>
      <c r="N321" s="77" t="s">
        <v>355</v>
      </c>
    </row>
    <row r="322" spans="1:14">
      <c r="A322" s="58"/>
      <c r="B322" s="59"/>
      <c r="C322" s="59"/>
      <c r="D322" s="59"/>
      <c r="E322" s="59"/>
      <c r="F322" s="59"/>
      <c r="G322" s="59"/>
      <c r="H322" s="77"/>
      <c r="I322" s="77"/>
      <c r="J322" s="77"/>
      <c r="K322" s="77"/>
      <c r="L322" s="77"/>
      <c r="M322" s="77"/>
      <c r="N322" s="77" t="s">
        <v>125</v>
      </c>
    </row>
    <row r="323" spans="1:14">
      <c r="A323" s="58"/>
      <c r="B323" s="59"/>
      <c r="C323" s="59"/>
      <c r="D323" s="59"/>
      <c r="E323" s="59"/>
      <c r="F323" s="59"/>
      <c r="G323" s="59"/>
      <c r="H323" s="77"/>
      <c r="I323" s="77"/>
      <c r="J323" s="77"/>
      <c r="K323" s="77"/>
      <c r="L323" s="77"/>
      <c r="M323" s="77"/>
      <c r="N323" s="77" t="s">
        <v>356</v>
      </c>
    </row>
    <row r="324" spans="1:14">
      <c r="A324" s="58"/>
      <c r="B324" s="59"/>
      <c r="C324" s="59"/>
      <c r="D324" s="59"/>
      <c r="E324" s="59"/>
      <c r="F324" s="59"/>
      <c r="G324" s="59"/>
      <c r="H324" s="77"/>
      <c r="I324" s="77"/>
      <c r="J324" s="77"/>
      <c r="K324" s="77"/>
      <c r="L324" s="77"/>
      <c r="M324" s="77"/>
      <c r="N324" s="77" t="s">
        <v>357</v>
      </c>
    </row>
    <row r="325" spans="1:14">
      <c r="A325" s="58"/>
      <c r="B325" s="59"/>
      <c r="C325" s="59"/>
      <c r="D325" s="59"/>
      <c r="E325" s="59"/>
      <c r="F325" s="59"/>
      <c r="G325" s="59"/>
      <c r="H325" s="77"/>
      <c r="I325" s="77"/>
      <c r="J325" s="77"/>
      <c r="K325" s="77"/>
      <c r="L325" s="77"/>
      <c r="M325" s="77"/>
      <c r="N325" s="77" t="s">
        <v>358</v>
      </c>
    </row>
    <row r="326" spans="1:14">
      <c r="A326" s="58"/>
      <c r="B326" s="59"/>
      <c r="C326" s="59"/>
      <c r="D326" s="59"/>
      <c r="E326" s="59"/>
      <c r="F326" s="59"/>
      <c r="G326" s="59"/>
      <c r="H326" s="77"/>
      <c r="I326" s="77"/>
      <c r="J326" s="77"/>
      <c r="K326" s="77"/>
      <c r="L326" s="77"/>
      <c r="M326" s="77"/>
      <c r="N326" s="77" t="s">
        <v>359</v>
      </c>
    </row>
    <row r="327" spans="1:14">
      <c r="A327" s="58"/>
      <c r="B327" s="59"/>
      <c r="C327" s="59"/>
      <c r="D327" s="59"/>
      <c r="E327" s="59"/>
      <c r="F327" s="59"/>
      <c r="G327" s="59"/>
      <c r="H327" s="77"/>
      <c r="I327" s="77"/>
      <c r="J327" s="77"/>
      <c r="K327" s="77"/>
      <c r="L327" s="77"/>
      <c r="M327" s="77"/>
      <c r="N327" s="77" t="s">
        <v>360</v>
      </c>
    </row>
    <row r="328" spans="1:14">
      <c r="A328" s="58"/>
      <c r="B328" s="59"/>
      <c r="C328" s="59"/>
      <c r="D328" s="59"/>
      <c r="E328" s="59"/>
      <c r="F328" s="59"/>
      <c r="G328" s="59"/>
      <c r="H328" s="77"/>
      <c r="I328" s="77"/>
      <c r="J328" s="77"/>
      <c r="K328" s="77"/>
      <c r="L328" s="77"/>
      <c r="M328" s="77"/>
      <c r="N328" s="77" t="s">
        <v>361</v>
      </c>
    </row>
    <row r="329" spans="1:14">
      <c r="A329" s="58"/>
      <c r="B329" s="59"/>
      <c r="C329" s="59"/>
      <c r="D329" s="59"/>
      <c r="E329" s="59"/>
      <c r="F329" s="59"/>
      <c r="G329" s="59"/>
      <c r="H329" s="77"/>
      <c r="I329" s="77"/>
      <c r="J329" s="77"/>
      <c r="K329" s="77"/>
      <c r="L329" s="77"/>
      <c r="M329" s="77"/>
      <c r="N329" s="77" t="s">
        <v>362</v>
      </c>
    </row>
    <row r="330" spans="1:14">
      <c r="A330" s="58"/>
      <c r="B330" s="59"/>
      <c r="C330" s="59"/>
      <c r="D330" s="59"/>
      <c r="E330" s="59"/>
      <c r="F330" s="59"/>
      <c r="G330" s="59"/>
      <c r="H330" s="77"/>
      <c r="I330" s="77"/>
      <c r="J330" s="77"/>
      <c r="K330" s="77"/>
      <c r="L330" s="77"/>
      <c r="M330" s="77"/>
      <c r="N330" s="77" t="s">
        <v>363</v>
      </c>
    </row>
    <row r="331" spans="1:14">
      <c r="A331" s="58"/>
      <c r="B331" s="59"/>
      <c r="C331" s="59"/>
      <c r="D331" s="59"/>
      <c r="E331" s="59"/>
      <c r="F331" s="59"/>
      <c r="G331" s="59"/>
      <c r="H331" s="77"/>
      <c r="I331" s="77"/>
      <c r="J331" s="77"/>
      <c r="K331" s="77"/>
      <c r="L331" s="77"/>
      <c r="M331" s="77"/>
      <c r="N331" s="77" t="s">
        <v>364</v>
      </c>
    </row>
    <row r="332" spans="1:14">
      <c r="A332" s="58"/>
      <c r="B332" s="59"/>
      <c r="C332" s="59"/>
      <c r="D332" s="59"/>
      <c r="E332" s="59"/>
      <c r="F332" s="59"/>
      <c r="G332" s="59"/>
      <c r="H332" s="77"/>
      <c r="I332" s="77"/>
      <c r="J332" s="77"/>
      <c r="K332" s="77"/>
      <c r="L332" s="77"/>
      <c r="M332" s="77"/>
      <c r="N332" s="77" t="s">
        <v>365</v>
      </c>
    </row>
    <row r="333" spans="1:14">
      <c r="A333" s="58"/>
      <c r="B333" s="59"/>
      <c r="C333" s="59"/>
      <c r="D333" s="59"/>
      <c r="E333" s="59"/>
      <c r="F333" s="59"/>
      <c r="G333" s="59"/>
      <c r="H333" s="77"/>
      <c r="I333" s="77"/>
      <c r="J333" s="77"/>
      <c r="K333" s="77"/>
      <c r="L333" s="77"/>
      <c r="M333" s="77"/>
      <c r="N333" s="77" t="s">
        <v>366</v>
      </c>
    </row>
    <row r="334" spans="1:14">
      <c r="A334" s="58"/>
      <c r="B334" s="59"/>
      <c r="C334" s="59"/>
      <c r="D334" s="59"/>
      <c r="E334" s="59"/>
      <c r="F334" s="59"/>
      <c r="G334" s="59"/>
      <c r="H334" s="77"/>
      <c r="I334" s="77"/>
      <c r="J334" s="77"/>
      <c r="K334" s="77"/>
      <c r="L334" s="77"/>
      <c r="M334" s="77"/>
      <c r="N334" s="77" t="s">
        <v>367</v>
      </c>
    </row>
    <row r="335" spans="1:14">
      <c r="A335" s="58"/>
      <c r="B335" s="59"/>
      <c r="C335" s="59"/>
      <c r="D335" s="59"/>
      <c r="E335" s="59"/>
      <c r="F335" s="59"/>
      <c r="G335" s="59"/>
      <c r="H335" s="77"/>
      <c r="I335" s="77"/>
      <c r="J335" s="77"/>
      <c r="K335" s="77"/>
      <c r="L335" s="77"/>
      <c r="M335" s="77"/>
      <c r="N335" s="77" t="s">
        <v>368</v>
      </c>
    </row>
    <row r="336" spans="1:14">
      <c r="A336" s="58"/>
      <c r="B336" s="59"/>
      <c r="C336" s="59"/>
      <c r="D336" s="59"/>
      <c r="E336" s="59"/>
      <c r="F336" s="59"/>
      <c r="G336" s="59"/>
      <c r="H336" s="77"/>
      <c r="I336" s="77"/>
      <c r="J336" s="77"/>
      <c r="K336" s="77"/>
      <c r="L336" s="77"/>
      <c r="M336" s="77"/>
      <c r="N336" s="77" t="s">
        <v>369</v>
      </c>
    </row>
    <row r="337" spans="1:14">
      <c r="A337" s="58"/>
      <c r="B337" s="59"/>
      <c r="C337" s="59"/>
      <c r="D337" s="59"/>
      <c r="E337" s="59"/>
      <c r="F337" s="59"/>
      <c r="G337" s="59"/>
      <c r="H337" s="77"/>
      <c r="I337" s="77"/>
      <c r="J337" s="77"/>
      <c r="K337" s="77"/>
      <c r="L337" s="77"/>
      <c r="M337" s="77"/>
      <c r="N337" s="77" t="s">
        <v>370</v>
      </c>
    </row>
    <row r="338" spans="1:14">
      <c r="A338" s="58"/>
      <c r="B338" s="59"/>
      <c r="C338" s="59"/>
      <c r="D338" s="59"/>
      <c r="E338" s="59"/>
      <c r="F338" s="59"/>
      <c r="G338" s="59"/>
      <c r="H338" s="77"/>
      <c r="I338" s="77"/>
      <c r="J338" s="77"/>
      <c r="K338" s="77"/>
      <c r="L338" s="77"/>
      <c r="M338" s="77"/>
      <c r="N338" s="77" t="s">
        <v>371</v>
      </c>
    </row>
    <row r="339" spans="1:14">
      <c r="A339" s="58"/>
      <c r="B339" s="59"/>
      <c r="C339" s="59"/>
      <c r="D339" s="59"/>
      <c r="E339" s="59"/>
      <c r="F339" s="59"/>
      <c r="G339" s="59"/>
      <c r="H339" s="77"/>
      <c r="I339" s="77"/>
      <c r="J339" s="77"/>
      <c r="K339" s="77"/>
      <c r="L339" s="77"/>
      <c r="M339" s="77"/>
      <c r="N339" s="77" t="s">
        <v>372</v>
      </c>
    </row>
    <row r="340" spans="1:14">
      <c r="A340" s="58"/>
      <c r="B340" s="59"/>
      <c r="C340" s="59"/>
      <c r="D340" s="59"/>
      <c r="E340" s="59"/>
      <c r="F340" s="59"/>
      <c r="G340" s="59"/>
      <c r="H340" s="77"/>
      <c r="I340" s="77"/>
      <c r="J340" s="77"/>
      <c r="K340" s="77"/>
      <c r="L340" s="77"/>
      <c r="M340" s="77"/>
      <c r="N340" s="77" t="s">
        <v>373</v>
      </c>
    </row>
    <row r="341" spans="1:14">
      <c r="A341" s="58"/>
      <c r="B341" s="59"/>
      <c r="C341" s="59"/>
      <c r="D341" s="59"/>
      <c r="E341" s="59"/>
      <c r="F341" s="59"/>
      <c r="G341" s="59"/>
      <c r="H341" s="77"/>
      <c r="I341" s="77"/>
      <c r="J341" s="77"/>
      <c r="K341" s="77"/>
      <c r="L341" s="77"/>
      <c r="M341" s="77"/>
      <c r="N341" s="77" t="s">
        <v>374</v>
      </c>
    </row>
    <row r="342" spans="1:14">
      <c r="C342" s="59"/>
      <c r="E342" s="77"/>
      <c r="F342" s="77"/>
      <c r="G342" s="77"/>
      <c r="H342" s="77"/>
      <c r="I342" s="77"/>
      <c r="J342" s="77"/>
      <c r="K342" s="77"/>
      <c r="L342" s="77"/>
      <c r="M342" s="77"/>
      <c r="N342" s="77" t="s">
        <v>375</v>
      </c>
    </row>
    <row r="343" spans="1:14">
      <c r="E343" s="77"/>
      <c r="F343" s="77"/>
      <c r="G343" s="77"/>
      <c r="H343" s="77"/>
      <c r="I343" s="77"/>
      <c r="J343" s="77"/>
      <c r="K343" s="77"/>
      <c r="L343" s="77"/>
      <c r="M343" s="77"/>
      <c r="N343" s="77" t="s">
        <v>376</v>
      </c>
    </row>
    <row r="344" spans="1:14">
      <c r="E344" s="77"/>
      <c r="F344" s="77"/>
      <c r="G344" s="77"/>
      <c r="H344" s="77"/>
      <c r="I344" s="77"/>
      <c r="J344" s="77"/>
      <c r="K344" s="77"/>
      <c r="L344" s="77"/>
      <c r="M344" s="77"/>
      <c r="N344" s="77" t="s">
        <v>377</v>
      </c>
    </row>
    <row r="345" spans="1:14">
      <c r="E345" s="77"/>
      <c r="F345" s="77"/>
      <c r="G345" s="77"/>
      <c r="H345" s="77"/>
      <c r="I345" s="77"/>
      <c r="J345" s="77"/>
      <c r="K345" s="77"/>
      <c r="L345" s="77"/>
      <c r="M345" s="77"/>
      <c r="N345" s="77" t="s">
        <v>378</v>
      </c>
    </row>
    <row r="346" spans="1:14">
      <c r="E346" s="77"/>
      <c r="F346" s="77"/>
      <c r="G346" s="77"/>
      <c r="H346" s="77"/>
      <c r="I346" s="77"/>
      <c r="J346" s="77"/>
      <c r="K346" s="77"/>
      <c r="L346" s="77"/>
      <c r="M346" s="77"/>
      <c r="N346" s="77" t="s">
        <v>379</v>
      </c>
    </row>
    <row r="347" spans="1:14">
      <c r="E347" s="77"/>
      <c r="F347" s="77"/>
      <c r="G347" s="77"/>
      <c r="H347" s="77"/>
      <c r="I347" s="77"/>
      <c r="J347" s="77"/>
      <c r="K347" s="77"/>
      <c r="L347" s="77"/>
      <c r="M347" s="77"/>
      <c r="N347" s="77" t="s">
        <v>380</v>
      </c>
    </row>
    <row r="348" spans="1:14">
      <c r="E348" s="77"/>
      <c r="F348" s="77"/>
      <c r="G348" s="77"/>
      <c r="H348" s="77"/>
      <c r="I348" s="77"/>
      <c r="J348" s="77"/>
      <c r="K348" s="77"/>
      <c r="L348" s="77"/>
      <c r="M348" s="77"/>
      <c r="N348" s="77" t="s">
        <v>381</v>
      </c>
    </row>
    <row r="349" spans="1:14">
      <c r="E349" s="77"/>
      <c r="F349" s="77"/>
      <c r="G349" s="77"/>
      <c r="H349" s="77"/>
      <c r="I349" s="77"/>
      <c r="J349" s="77"/>
      <c r="K349" s="77"/>
      <c r="L349" s="77"/>
      <c r="M349" s="77"/>
      <c r="N349" s="77" t="s">
        <v>382</v>
      </c>
    </row>
    <row r="350" spans="1:14">
      <c r="E350" s="77"/>
      <c r="F350" s="77"/>
      <c r="G350" s="77"/>
      <c r="H350" s="77"/>
      <c r="I350" s="77"/>
      <c r="J350" s="77"/>
      <c r="K350" s="77"/>
      <c r="L350" s="77"/>
      <c r="M350" s="77"/>
      <c r="N350" s="77" t="s">
        <v>383</v>
      </c>
    </row>
    <row r="351" spans="1:14">
      <c r="E351" s="77"/>
      <c r="F351" s="77"/>
      <c r="G351" s="77"/>
      <c r="H351" s="77"/>
      <c r="I351" s="77"/>
      <c r="J351" s="77"/>
      <c r="K351" s="77"/>
      <c r="L351" s="77"/>
      <c r="M351" s="77"/>
      <c r="N351" s="77" t="s">
        <v>384</v>
      </c>
    </row>
    <row r="352" spans="1:14">
      <c r="E352" s="77"/>
      <c r="F352" s="77"/>
      <c r="G352" s="77"/>
      <c r="H352" s="77"/>
      <c r="I352" s="77"/>
      <c r="J352" s="77"/>
      <c r="K352" s="77"/>
      <c r="L352" s="77"/>
      <c r="M352" s="77"/>
      <c r="N352" s="77" t="s">
        <v>385</v>
      </c>
    </row>
    <row r="353" spans="14:14">
      <c r="N353" s="77" t="s">
        <v>386</v>
      </c>
    </row>
  </sheetData>
  <mergeCells count="2">
    <mergeCell ref="B5:C5"/>
    <mergeCell ref="B7:D7"/>
  </mergeCells>
  <conditionalFormatting sqref="B130:B341">
    <cfRule type="expression" dxfId="10" priority="10" stopIfTrue="1">
      <formula>A130&lt;&gt;""</formula>
    </cfRule>
  </conditionalFormatting>
  <conditionalFormatting sqref="B55:V55">
    <cfRule type="expression" dxfId="9" priority="2" stopIfTrue="1">
      <formula>NOT(ISBLANK($B$57:$B$64))</formula>
    </cfRule>
  </conditionalFormatting>
  <conditionalFormatting sqref="B62:AO65">
    <cfRule type="expression" dxfId="8" priority="1" stopIfTrue="1">
      <formula>NOT(ISBLANK($B$57:$B$64))</formula>
    </cfRule>
  </conditionalFormatting>
  <conditionalFormatting sqref="C130:C342">
    <cfRule type="expression" dxfId="7" priority="9" stopIfTrue="1">
      <formula>A130&lt;&gt;""</formula>
    </cfRule>
  </conditionalFormatting>
  <conditionalFormatting sqref="D130:D341">
    <cfRule type="expression" dxfId="6" priority="7" stopIfTrue="1">
      <formula>OR(C130="date",C130="text")</formula>
    </cfRule>
    <cfRule type="expression" dxfId="5" priority="8" stopIfTrue="1">
      <formula>OR(C130="number")</formula>
    </cfRule>
  </conditionalFormatting>
  <conditionalFormatting sqref="E130:E341">
    <cfRule type="expression" dxfId="4" priority="5" stopIfTrue="1">
      <formula>OR(C130="number",C130="text")</formula>
    </cfRule>
    <cfRule type="expression" dxfId="3" priority="6" stopIfTrue="1">
      <formula>OR(C130="datetime")</formula>
    </cfRule>
  </conditionalFormatting>
  <conditionalFormatting sqref="F130:G341">
    <cfRule type="expression" dxfId="2" priority="3" stopIfTrue="1">
      <formula>OR($C130="number", $C130="text")</formula>
    </cfRule>
    <cfRule type="expression" dxfId="1" priority="4" stopIfTrue="1">
      <formula>OR($C130="date")</formula>
    </cfRule>
  </conditionalFormatting>
  <dataValidations count="5">
    <dataValidation type="list" allowBlank="1" showInputMessage="1" showErrorMessage="1" error="Please Select fromt he drop-down list." promptTitle="Data Type" prompt="Please select DateTime, Number or Text from the drop-down list." sqref="C130:C342 IY130:IY342 SU130:SU342 ACQ130:ACQ342 AMM130:AMM342 AWI130:AWI342 BGE130:BGE342 BQA130:BQA342 BZW130:BZW342 CJS130:CJS342 CTO130:CTO342 DDK130:DDK342 DNG130:DNG342 DXC130:DXC342 EGY130:EGY342 EQU130:EQU342 FAQ130:FAQ342 FKM130:FKM342 FUI130:FUI342 GEE130:GEE342 GOA130:GOA342 GXW130:GXW342 HHS130:HHS342 HRO130:HRO342 IBK130:IBK342 ILG130:ILG342 IVC130:IVC342 JEY130:JEY342 JOU130:JOU342 JYQ130:JYQ342 KIM130:KIM342 KSI130:KSI342 LCE130:LCE342 LMA130:LMA342 LVW130:LVW342 MFS130:MFS342 MPO130:MPO342 MZK130:MZK342 NJG130:NJG342 NTC130:NTC342 OCY130:OCY342 OMU130:OMU342 OWQ130:OWQ342 PGM130:PGM342 PQI130:PQI342 QAE130:QAE342 QKA130:QKA342 QTW130:QTW342 RDS130:RDS342 RNO130:RNO342 RXK130:RXK342 SHG130:SHG342 SRC130:SRC342 TAY130:TAY342 TKU130:TKU342 TUQ130:TUQ342 UEM130:UEM342 UOI130:UOI342 UYE130:UYE342 VIA130:VIA342 VRW130:VRW342 WBS130:WBS342 WLO130:WLO342 WVK130:WVK342 C65666:C65878 IY65666:IY65878 SU65666:SU65878 ACQ65666:ACQ65878 AMM65666:AMM65878 AWI65666:AWI65878 BGE65666:BGE65878 BQA65666:BQA65878 BZW65666:BZW65878 CJS65666:CJS65878 CTO65666:CTO65878 DDK65666:DDK65878 DNG65666:DNG65878 DXC65666:DXC65878 EGY65666:EGY65878 EQU65666:EQU65878 FAQ65666:FAQ65878 FKM65666:FKM65878 FUI65666:FUI65878 GEE65666:GEE65878 GOA65666:GOA65878 GXW65666:GXW65878 HHS65666:HHS65878 HRO65666:HRO65878 IBK65666:IBK65878 ILG65666:ILG65878 IVC65666:IVC65878 JEY65666:JEY65878 JOU65666:JOU65878 JYQ65666:JYQ65878 KIM65666:KIM65878 KSI65666:KSI65878 LCE65666:LCE65878 LMA65666:LMA65878 LVW65666:LVW65878 MFS65666:MFS65878 MPO65666:MPO65878 MZK65666:MZK65878 NJG65666:NJG65878 NTC65666:NTC65878 OCY65666:OCY65878 OMU65666:OMU65878 OWQ65666:OWQ65878 PGM65666:PGM65878 PQI65666:PQI65878 QAE65666:QAE65878 QKA65666:QKA65878 QTW65666:QTW65878 RDS65666:RDS65878 RNO65666:RNO65878 RXK65666:RXK65878 SHG65666:SHG65878 SRC65666:SRC65878 TAY65666:TAY65878 TKU65666:TKU65878 TUQ65666:TUQ65878 UEM65666:UEM65878 UOI65666:UOI65878 UYE65666:UYE65878 VIA65666:VIA65878 VRW65666:VRW65878 WBS65666:WBS65878 WLO65666:WLO65878 WVK65666:WVK65878 C131202:C131414 IY131202:IY131414 SU131202:SU131414 ACQ131202:ACQ131414 AMM131202:AMM131414 AWI131202:AWI131414 BGE131202:BGE131414 BQA131202:BQA131414 BZW131202:BZW131414 CJS131202:CJS131414 CTO131202:CTO131414 DDK131202:DDK131414 DNG131202:DNG131414 DXC131202:DXC131414 EGY131202:EGY131414 EQU131202:EQU131414 FAQ131202:FAQ131414 FKM131202:FKM131414 FUI131202:FUI131414 GEE131202:GEE131414 GOA131202:GOA131414 GXW131202:GXW131414 HHS131202:HHS131414 HRO131202:HRO131414 IBK131202:IBK131414 ILG131202:ILG131414 IVC131202:IVC131414 JEY131202:JEY131414 JOU131202:JOU131414 JYQ131202:JYQ131414 KIM131202:KIM131414 KSI131202:KSI131414 LCE131202:LCE131414 LMA131202:LMA131414 LVW131202:LVW131414 MFS131202:MFS131414 MPO131202:MPO131414 MZK131202:MZK131414 NJG131202:NJG131414 NTC131202:NTC131414 OCY131202:OCY131414 OMU131202:OMU131414 OWQ131202:OWQ131414 PGM131202:PGM131414 PQI131202:PQI131414 QAE131202:QAE131414 QKA131202:QKA131414 QTW131202:QTW131414 RDS131202:RDS131414 RNO131202:RNO131414 RXK131202:RXK131414 SHG131202:SHG131414 SRC131202:SRC131414 TAY131202:TAY131414 TKU131202:TKU131414 TUQ131202:TUQ131414 UEM131202:UEM131414 UOI131202:UOI131414 UYE131202:UYE131414 VIA131202:VIA131414 VRW131202:VRW131414 WBS131202:WBS131414 WLO131202:WLO131414 WVK131202:WVK131414 C196738:C196950 IY196738:IY196950 SU196738:SU196950 ACQ196738:ACQ196950 AMM196738:AMM196950 AWI196738:AWI196950 BGE196738:BGE196950 BQA196738:BQA196950 BZW196738:BZW196950 CJS196738:CJS196950 CTO196738:CTO196950 DDK196738:DDK196950 DNG196738:DNG196950 DXC196738:DXC196950 EGY196738:EGY196950 EQU196738:EQU196950 FAQ196738:FAQ196950 FKM196738:FKM196950 FUI196738:FUI196950 GEE196738:GEE196950 GOA196738:GOA196950 GXW196738:GXW196950 HHS196738:HHS196950 HRO196738:HRO196950 IBK196738:IBK196950 ILG196738:ILG196950 IVC196738:IVC196950 JEY196738:JEY196950 JOU196738:JOU196950 JYQ196738:JYQ196950 KIM196738:KIM196950 KSI196738:KSI196950 LCE196738:LCE196950 LMA196738:LMA196950 LVW196738:LVW196950 MFS196738:MFS196950 MPO196738:MPO196950 MZK196738:MZK196950 NJG196738:NJG196950 NTC196738:NTC196950 OCY196738:OCY196950 OMU196738:OMU196950 OWQ196738:OWQ196950 PGM196738:PGM196950 PQI196738:PQI196950 QAE196738:QAE196950 QKA196738:QKA196950 QTW196738:QTW196950 RDS196738:RDS196950 RNO196738:RNO196950 RXK196738:RXK196950 SHG196738:SHG196950 SRC196738:SRC196950 TAY196738:TAY196950 TKU196738:TKU196950 TUQ196738:TUQ196950 UEM196738:UEM196950 UOI196738:UOI196950 UYE196738:UYE196950 VIA196738:VIA196950 VRW196738:VRW196950 WBS196738:WBS196950 WLO196738:WLO196950 WVK196738:WVK196950 C262274:C262486 IY262274:IY262486 SU262274:SU262486 ACQ262274:ACQ262486 AMM262274:AMM262486 AWI262274:AWI262486 BGE262274:BGE262486 BQA262274:BQA262486 BZW262274:BZW262486 CJS262274:CJS262486 CTO262274:CTO262486 DDK262274:DDK262486 DNG262274:DNG262486 DXC262274:DXC262486 EGY262274:EGY262486 EQU262274:EQU262486 FAQ262274:FAQ262486 FKM262274:FKM262486 FUI262274:FUI262486 GEE262274:GEE262486 GOA262274:GOA262486 GXW262274:GXW262486 HHS262274:HHS262486 HRO262274:HRO262486 IBK262274:IBK262486 ILG262274:ILG262486 IVC262274:IVC262486 JEY262274:JEY262486 JOU262274:JOU262486 JYQ262274:JYQ262486 KIM262274:KIM262486 KSI262274:KSI262486 LCE262274:LCE262486 LMA262274:LMA262486 LVW262274:LVW262486 MFS262274:MFS262486 MPO262274:MPO262486 MZK262274:MZK262486 NJG262274:NJG262486 NTC262274:NTC262486 OCY262274:OCY262486 OMU262274:OMU262486 OWQ262274:OWQ262486 PGM262274:PGM262486 PQI262274:PQI262486 QAE262274:QAE262486 QKA262274:QKA262486 QTW262274:QTW262486 RDS262274:RDS262486 RNO262274:RNO262486 RXK262274:RXK262486 SHG262274:SHG262486 SRC262274:SRC262486 TAY262274:TAY262486 TKU262274:TKU262486 TUQ262274:TUQ262486 UEM262274:UEM262486 UOI262274:UOI262486 UYE262274:UYE262486 VIA262274:VIA262486 VRW262274:VRW262486 WBS262274:WBS262486 WLO262274:WLO262486 WVK262274:WVK262486 C327810:C328022 IY327810:IY328022 SU327810:SU328022 ACQ327810:ACQ328022 AMM327810:AMM328022 AWI327810:AWI328022 BGE327810:BGE328022 BQA327810:BQA328022 BZW327810:BZW328022 CJS327810:CJS328022 CTO327810:CTO328022 DDK327810:DDK328022 DNG327810:DNG328022 DXC327810:DXC328022 EGY327810:EGY328022 EQU327810:EQU328022 FAQ327810:FAQ328022 FKM327810:FKM328022 FUI327810:FUI328022 GEE327810:GEE328022 GOA327810:GOA328022 GXW327810:GXW328022 HHS327810:HHS328022 HRO327810:HRO328022 IBK327810:IBK328022 ILG327810:ILG328022 IVC327810:IVC328022 JEY327810:JEY328022 JOU327810:JOU328022 JYQ327810:JYQ328022 KIM327810:KIM328022 KSI327810:KSI328022 LCE327810:LCE328022 LMA327810:LMA328022 LVW327810:LVW328022 MFS327810:MFS328022 MPO327810:MPO328022 MZK327810:MZK328022 NJG327810:NJG328022 NTC327810:NTC328022 OCY327810:OCY328022 OMU327810:OMU328022 OWQ327810:OWQ328022 PGM327810:PGM328022 PQI327810:PQI328022 QAE327810:QAE328022 QKA327810:QKA328022 QTW327810:QTW328022 RDS327810:RDS328022 RNO327810:RNO328022 RXK327810:RXK328022 SHG327810:SHG328022 SRC327810:SRC328022 TAY327810:TAY328022 TKU327810:TKU328022 TUQ327810:TUQ328022 UEM327810:UEM328022 UOI327810:UOI328022 UYE327810:UYE328022 VIA327810:VIA328022 VRW327810:VRW328022 WBS327810:WBS328022 WLO327810:WLO328022 WVK327810:WVK328022 C393346:C393558 IY393346:IY393558 SU393346:SU393558 ACQ393346:ACQ393558 AMM393346:AMM393558 AWI393346:AWI393558 BGE393346:BGE393558 BQA393346:BQA393558 BZW393346:BZW393558 CJS393346:CJS393558 CTO393346:CTO393558 DDK393346:DDK393558 DNG393346:DNG393558 DXC393346:DXC393558 EGY393346:EGY393558 EQU393346:EQU393558 FAQ393346:FAQ393558 FKM393346:FKM393558 FUI393346:FUI393558 GEE393346:GEE393558 GOA393346:GOA393558 GXW393346:GXW393558 HHS393346:HHS393558 HRO393346:HRO393558 IBK393346:IBK393558 ILG393346:ILG393558 IVC393346:IVC393558 JEY393346:JEY393558 JOU393346:JOU393558 JYQ393346:JYQ393558 KIM393346:KIM393558 KSI393346:KSI393558 LCE393346:LCE393558 LMA393346:LMA393558 LVW393346:LVW393558 MFS393346:MFS393558 MPO393346:MPO393558 MZK393346:MZK393558 NJG393346:NJG393558 NTC393346:NTC393558 OCY393346:OCY393558 OMU393346:OMU393558 OWQ393346:OWQ393558 PGM393346:PGM393558 PQI393346:PQI393558 QAE393346:QAE393558 QKA393346:QKA393558 QTW393346:QTW393558 RDS393346:RDS393558 RNO393346:RNO393558 RXK393346:RXK393558 SHG393346:SHG393558 SRC393346:SRC393558 TAY393346:TAY393558 TKU393346:TKU393558 TUQ393346:TUQ393558 UEM393346:UEM393558 UOI393346:UOI393558 UYE393346:UYE393558 VIA393346:VIA393558 VRW393346:VRW393558 WBS393346:WBS393558 WLO393346:WLO393558 WVK393346:WVK393558 C458882:C459094 IY458882:IY459094 SU458882:SU459094 ACQ458882:ACQ459094 AMM458882:AMM459094 AWI458882:AWI459094 BGE458882:BGE459094 BQA458882:BQA459094 BZW458882:BZW459094 CJS458882:CJS459094 CTO458882:CTO459094 DDK458882:DDK459094 DNG458882:DNG459094 DXC458882:DXC459094 EGY458882:EGY459094 EQU458882:EQU459094 FAQ458882:FAQ459094 FKM458882:FKM459094 FUI458882:FUI459094 GEE458882:GEE459094 GOA458882:GOA459094 GXW458882:GXW459094 HHS458882:HHS459094 HRO458882:HRO459094 IBK458882:IBK459094 ILG458882:ILG459094 IVC458882:IVC459094 JEY458882:JEY459094 JOU458882:JOU459094 JYQ458882:JYQ459094 KIM458882:KIM459094 KSI458882:KSI459094 LCE458882:LCE459094 LMA458882:LMA459094 LVW458882:LVW459094 MFS458882:MFS459094 MPO458882:MPO459094 MZK458882:MZK459094 NJG458882:NJG459094 NTC458882:NTC459094 OCY458882:OCY459094 OMU458882:OMU459094 OWQ458882:OWQ459094 PGM458882:PGM459094 PQI458882:PQI459094 QAE458882:QAE459094 QKA458882:QKA459094 QTW458882:QTW459094 RDS458882:RDS459094 RNO458882:RNO459094 RXK458882:RXK459094 SHG458882:SHG459094 SRC458882:SRC459094 TAY458882:TAY459094 TKU458882:TKU459094 TUQ458882:TUQ459094 UEM458882:UEM459094 UOI458882:UOI459094 UYE458882:UYE459094 VIA458882:VIA459094 VRW458882:VRW459094 WBS458882:WBS459094 WLO458882:WLO459094 WVK458882:WVK459094 C524418:C524630 IY524418:IY524630 SU524418:SU524630 ACQ524418:ACQ524630 AMM524418:AMM524630 AWI524418:AWI524630 BGE524418:BGE524630 BQA524418:BQA524630 BZW524418:BZW524630 CJS524418:CJS524630 CTO524418:CTO524630 DDK524418:DDK524630 DNG524418:DNG524630 DXC524418:DXC524630 EGY524418:EGY524630 EQU524418:EQU524630 FAQ524418:FAQ524630 FKM524418:FKM524630 FUI524418:FUI524630 GEE524418:GEE524630 GOA524418:GOA524630 GXW524418:GXW524630 HHS524418:HHS524630 HRO524418:HRO524630 IBK524418:IBK524630 ILG524418:ILG524630 IVC524418:IVC524630 JEY524418:JEY524630 JOU524418:JOU524630 JYQ524418:JYQ524630 KIM524418:KIM524630 KSI524418:KSI524630 LCE524418:LCE524630 LMA524418:LMA524630 LVW524418:LVW524630 MFS524418:MFS524630 MPO524418:MPO524630 MZK524418:MZK524630 NJG524418:NJG524630 NTC524418:NTC524630 OCY524418:OCY524630 OMU524418:OMU524630 OWQ524418:OWQ524630 PGM524418:PGM524630 PQI524418:PQI524630 QAE524418:QAE524630 QKA524418:QKA524630 QTW524418:QTW524630 RDS524418:RDS524630 RNO524418:RNO524630 RXK524418:RXK524630 SHG524418:SHG524630 SRC524418:SRC524630 TAY524418:TAY524630 TKU524418:TKU524630 TUQ524418:TUQ524630 UEM524418:UEM524630 UOI524418:UOI524630 UYE524418:UYE524630 VIA524418:VIA524630 VRW524418:VRW524630 WBS524418:WBS524630 WLO524418:WLO524630 WVK524418:WVK524630 C589954:C590166 IY589954:IY590166 SU589954:SU590166 ACQ589954:ACQ590166 AMM589954:AMM590166 AWI589954:AWI590166 BGE589954:BGE590166 BQA589954:BQA590166 BZW589954:BZW590166 CJS589954:CJS590166 CTO589954:CTO590166 DDK589954:DDK590166 DNG589954:DNG590166 DXC589954:DXC590166 EGY589954:EGY590166 EQU589954:EQU590166 FAQ589954:FAQ590166 FKM589954:FKM590166 FUI589954:FUI590166 GEE589954:GEE590166 GOA589954:GOA590166 GXW589954:GXW590166 HHS589954:HHS590166 HRO589954:HRO590166 IBK589954:IBK590166 ILG589954:ILG590166 IVC589954:IVC590166 JEY589954:JEY590166 JOU589954:JOU590166 JYQ589954:JYQ590166 KIM589954:KIM590166 KSI589954:KSI590166 LCE589954:LCE590166 LMA589954:LMA590166 LVW589954:LVW590166 MFS589954:MFS590166 MPO589954:MPO590166 MZK589954:MZK590166 NJG589954:NJG590166 NTC589954:NTC590166 OCY589954:OCY590166 OMU589954:OMU590166 OWQ589954:OWQ590166 PGM589954:PGM590166 PQI589954:PQI590166 QAE589954:QAE590166 QKA589954:QKA590166 QTW589954:QTW590166 RDS589954:RDS590166 RNO589954:RNO590166 RXK589954:RXK590166 SHG589954:SHG590166 SRC589954:SRC590166 TAY589954:TAY590166 TKU589954:TKU590166 TUQ589954:TUQ590166 UEM589954:UEM590166 UOI589954:UOI590166 UYE589954:UYE590166 VIA589954:VIA590166 VRW589954:VRW590166 WBS589954:WBS590166 WLO589954:WLO590166 WVK589954:WVK590166 C655490:C655702 IY655490:IY655702 SU655490:SU655702 ACQ655490:ACQ655702 AMM655490:AMM655702 AWI655490:AWI655702 BGE655490:BGE655702 BQA655490:BQA655702 BZW655490:BZW655702 CJS655490:CJS655702 CTO655490:CTO655702 DDK655490:DDK655702 DNG655490:DNG655702 DXC655490:DXC655702 EGY655490:EGY655702 EQU655490:EQU655702 FAQ655490:FAQ655702 FKM655490:FKM655702 FUI655490:FUI655702 GEE655490:GEE655702 GOA655490:GOA655702 GXW655490:GXW655702 HHS655490:HHS655702 HRO655490:HRO655702 IBK655490:IBK655702 ILG655490:ILG655702 IVC655490:IVC655702 JEY655490:JEY655702 JOU655490:JOU655702 JYQ655490:JYQ655702 KIM655490:KIM655702 KSI655490:KSI655702 LCE655490:LCE655702 LMA655490:LMA655702 LVW655490:LVW655702 MFS655490:MFS655702 MPO655490:MPO655702 MZK655490:MZK655702 NJG655490:NJG655702 NTC655490:NTC655702 OCY655490:OCY655702 OMU655490:OMU655702 OWQ655490:OWQ655702 PGM655490:PGM655702 PQI655490:PQI655702 QAE655490:QAE655702 QKA655490:QKA655702 QTW655490:QTW655702 RDS655490:RDS655702 RNO655490:RNO655702 RXK655490:RXK655702 SHG655490:SHG655702 SRC655490:SRC655702 TAY655490:TAY655702 TKU655490:TKU655702 TUQ655490:TUQ655702 UEM655490:UEM655702 UOI655490:UOI655702 UYE655490:UYE655702 VIA655490:VIA655702 VRW655490:VRW655702 WBS655490:WBS655702 WLO655490:WLO655702 WVK655490:WVK655702 C721026:C721238 IY721026:IY721238 SU721026:SU721238 ACQ721026:ACQ721238 AMM721026:AMM721238 AWI721026:AWI721238 BGE721026:BGE721238 BQA721026:BQA721238 BZW721026:BZW721238 CJS721026:CJS721238 CTO721026:CTO721238 DDK721026:DDK721238 DNG721026:DNG721238 DXC721026:DXC721238 EGY721026:EGY721238 EQU721026:EQU721238 FAQ721026:FAQ721238 FKM721026:FKM721238 FUI721026:FUI721238 GEE721026:GEE721238 GOA721026:GOA721238 GXW721026:GXW721238 HHS721026:HHS721238 HRO721026:HRO721238 IBK721026:IBK721238 ILG721026:ILG721238 IVC721026:IVC721238 JEY721026:JEY721238 JOU721026:JOU721238 JYQ721026:JYQ721238 KIM721026:KIM721238 KSI721026:KSI721238 LCE721026:LCE721238 LMA721026:LMA721238 LVW721026:LVW721238 MFS721026:MFS721238 MPO721026:MPO721238 MZK721026:MZK721238 NJG721026:NJG721238 NTC721026:NTC721238 OCY721026:OCY721238 OMU721026:OMU721238 OWQ721026:OWQ721238 PGM721026:PGM721238 PQI721026:PQI721238 QAE721026:QAE721238 QKA721026:QKA721238 QTW721026:QTW721238 RDS721026:RDS721238 RNO721026:RNO721238 RXK721026:RXK721238 SHG721026:SHG721238 SRC721026:SRC721238 TAY721026:TAY721238 TKU721026:TKU721238 TUQ721026:TUQ721238 UEM721026:UEM721238 UOI721026:UOI721238 UYE721026:UYE721238 VIA721026:VIA721238 VRW721026:VRW721238 WBS721026:WBS721238 WLO721026:WLO721238 WVK721026:WVK721238 C786562:C786774 IY786562:IY786774 SU786562:SU786774 ACQ786562:ACQ786774 AMM786562:AMM786774 AWI786562:AWI786774 BGE786562:BGE786774 BQA786562:BQA786774 BZW786562:BZW786774 CJS786562:CJS786774 CTO786562:CTO786774 DDK786562:DDK786774 DNG786562:DNG786774 DXC786562:DXC786774 EGY786562:EGY786774 EQU786562:EQU786774 FAQ786562:FAQ786774 FKM786562:FKM786774 FUI786562:FUI786774 GEE786562:GEE786774 GOA786562:GOA786774 GXW786562:GXW786774 HHS786562:HHS786774 HRO786562:HRO786774 IBK786562:IBK786774 ILG786562:ILG786774 IVC786562:IVC786774 JEY786562:JEY786774 JOU786562:JOU786774 JYQ786562:JYQ786774 KIM786562:KIM786774 KSI786562:KSI786774 LCE786562:LCE786774 LMA786562:LMA786774 LVW786562:LVW786774 MFS786562:MFS786774 MPO786562:MPO786774 MZK786562:MZK786774 NJG786562:NJG786774 NTC786562:NTC786774 OCY786562:OCY786774 OMU786562:OMU786774 OWQ786562:OWQ786774 PGM786562:PGM786774 PQI786562:PQI786774 QAE786562:QAE786774 QKA786562:QKA786774 QTW786562:QTW786774 RDS786562:RDS786774 RNO786562:RNO786774 RXK786562:RXK786774 SHG786562:SHG786774 SRC786562:SRC786774 TAY786562:TAY786774 TKU786562:TKU786774 TUQ786562:TUQ786774 UEM786562:UEM786774 UOI786562:UOI786774 UYE786562:UYE786774 VIA786562:VIA786774 VRW786562:VRW786774 WBS786562:WBS786774 WLO786562:WLO786774 WVK786562:WVK786774 C852098:C852310 IY852098:IY852310 SU852098:SU852310 ACQ852098:ACQ852310 AMM852098:AMM852310 AWI852098:AWI852310 BGE852098:BGE852310 BQA852098:BQA852310 BZW852098:BZW852310 CJS852098:CJS852310 CTO852098:CTO852310 DDK852098:DDK852310 DNG852098:DNG852310 DXC852098:DXC852310 EGY852098:EGY852310 EQU852098:EQU852310 FAQ852098:FAQ852310 FKM852098:FKM852310 FUI852098:FUI852310 GEE852098:GEE852310 GOA852098:GOA852310 GXW852098:GXW852310 HHS852098:HHS852310 HRO852098:HRO852310 IBK852098:IBK852310 ILG852098:ILG852310 IVC852098:IVC852310 JEY852098:JEY852310 JOU852098:JOU852310 JYQ852098:JYQ852310 KIM852098:KIM852310 KSI852098:KSI852310 LCE852098:LCE852310 LMA852098:LMA852310 LVW852098:LVW852310 MFS852098:MFS852310 MPO852098:MPO852310 MZK852098:MZK852310 NJG852098:NJG852310 NTC852098:NTC852310 OCY852098:OCY852310 OMU852098:OMU852310 OWQ852098:OWQ852310 PGM852098:PGM852310 PQI852098:PQI852310 QAE852098:QAE852310 QKA852098:QKA852310 QTW852098:QTW852310 RDS852098:RDS852310 RNO852098:RNO852310 RXK852098:RXK852310 SHG852098:SHG852310 SRC852098:SRC852310 TAY852098:TAY852310 TKU852098:TKU852310 TUQ852098:TUQ852310 UEM852098:UEM852310 UOI852098:UOI852310 UYE852098:UYE852310 VIA852098:VIA852310 VRW852098:VRW852310 WBS852098:WBS852310 WLO852098:WLO852310 WVK852098:WVK852310 C917634:C917846 IY917634:IY917846 SU917634:SU917846 ACQ917634:ACQ917846 AMM917634:AMM917846 AWI917634:AWI917846 BGE917634:BGE917846 BQA917634:BQA917846 BZW917634:BZW917846 CJS917634:CJS917846 CTO917634:CTO917846 DDK917634:DDK917846 DNG917634:DNG917846 DXC917634:DXC917846 EGY917634:EGY917846 EQU917634:EQU917846 FAQ917634:FAQ917846 FKM917634:FKM917846 FUI917634:FUI917846 GEE917634:GEE917846 GOA917634:GOA917846 GXW917634:GXW917846 HHS917634:HHS917846 HRO917634:HRO917846 IBK917634:IBK917846 ILG917634:ILG917846 IVC917634:IVC917846 JEY917634:JEY917846 JOU917634:JOU917846 JYQ917634:JYQ917846 KIM917634:KIM917846 KSI917634:KSI917846 LCE917634:LCE917846 LMA917634:LMA917846 LVW917634:LVW917846 MFS917634:MFS917846 MPO917634:MPO917846 MZK917634:MZK917846 NJG917634:NJG917846 NTC917634:NTC917846 OCY917634:OCY917846 OMU917634:OMU917846 OWQ917634:OWQ917846 PGM917634:PGM917846 PQI917634:PQI917846 QAE917634:QAE917846 QKA917634:QKA917846 QTW917634:QTW917846 RDS917634:RDS917846 RNO917634:RNO917846 RXK917634:RXK917846 SHG917634:SHG917846 SRC917634:SRC917846 TAY917634:TAY917846 TKU917634:TKU917846 TUQ917634:TUQ917846 UEM917634:UEM917846 UOI917634:UOI917846 UYE917634:UYE917846 VIA917634:VIA917846 VRW917634:VRW917846 WBS917634:WBS917846 WLO917634:WLO917846 WVK917634:WVK917846 C983170:C983382 IY983170:IY983382 SU983170:SU983382 ACQ983170:ACQ983382 AMM983170:AMM983382 AWI983170:AWI983382 BGE983170:BGE983382 BQA983170:BQA983382 BZW983170:BZW983382 CJS983170:CJS983382 CTO983170:CTO983382 DDK983170:DDK983382 DNG983170:DNG983382 DXC983170:DXC983382 EGY983170:EGY983382 EQU983170:EQU983382 FAQ983170:FAQ983382 FKM983170:FKM983382 FUI983170:FUI983382 GEE983170:GEE983382 GOA983170:GOA983382 GXW983170:GXW983382 HHS983170:HHS983382 HRO983170:HRO983382 IBK983170:IBK983382 ILG983170:ILG983382 IVC983170:IVC983382 JEY983170:JEY983382 JOU983170:JOU983382 JYQ983170:JYQ983382 KIM983170:KIM983382 KSI983170:KSI983382 LCE983170:LCE983382 LMA983170:LMA983382 LVW983170:LVW983382 MFS983170:MFS983382 MPO983170:MPO983382 MZK983170:MZK983382 NJG983170:NJG983382 NTC983170:NTC983382 OCY983170:OCY983382 OMU983170:OMU983382 OWQ983170:OWQ983382 PGM983170:PGM983382 PQI983170:PQI983382 QAE983170:QAE983382 QKA983170:QKA983382 QTW983170:QTW983382 RDS983170:RDS983382 RNO983170:RNO983382 RXK983170:RXK983382 SHG983170:SHG983382 SRC983170:SRC983382 TAY983170:TAY983382 TKU983170:TKU983382 TUQ983170:TUQ983382 UEM983170:UEM983382 UOI983170:UOI983382 UYE983170:UYE983382 VIA983170:VIA983382 VRW983170:VRW983382 WBS983170:WBS983382 WLO983170:WLO983382 WVK983170:WVK983382" xr:uid="{00000000-0002-0000-0000-000000000000}">
      <formula1>$M$131:$M$133</formula1>
    </dataValidation>
    <dataValidation type="list" allowBlank="1" showInputMessage="1" showErrorMessage="1" error="Please select from the drop-down list" promptTitle="Role" prompt="Select the role of this person for this dataset. The role of Owner is the person or persons who should be contacted for more information." sqref="WVJ983056:WVQ983056 IX16:JE16 ST16:TA16 ACP16:ACW16 AML16:AMS16 AWH16:AWO16 BGD16:BGK16 BPZ16:BQG16 BZV16:CAC16 CJR16:CJY16 CTN16:CTU16 DDJ16:DDQ16 DNF16:DNM16 DXB16:DXI16 EGX16:EHE16 EQT16:ERA16 FAP16:FAW16 FKL16:FKS16 FUH16:FUO16 GED16:GEK16 GNZ16:GOG16 GXV16:GYC16 HHR16:HHY16 HRN16:HRU16 IBJ16:IBQ16 ILF16:ILM16 IVB16:IVI16 JEX16:JFE16 JOT16:JPA16 JYP16:JYW16 KIL16:KIS16 KSH16:KSO16 LCD16:LCK16 LLZ16:LMG16 LVV16:LWC16 MFR16:MFY16 MPN16:MPU16 MZJ16:MZQ16 NJF16:NJM16 NTB16:NTI16 OCX16:ODE16 OMT16:ONA16 OWP16:OWW16 PGL16:PGS16 PQH16:PQO16 QAD16:QAK16 QJZ16:QKG16 QTV16:QUC16 RDR16:RDY16 RNN16:RNU16 RXJ16:RXQ16 SHF16:SHM16 SRB16:SRI16 TAX16:TBE16 TKT16:TLA16 TUP16:TUW16 UEL16:UES16 UOH16:UOO16 UYD16:UYK16 VHZ16:VIG16 VRV16:VSC16 WBR16:WBY16 WLN16:WLU16 WVJ16:WVQ16 B65552:I65552 IX65552:JE65552 ST65552:TA65552 ACP65552:ACW65552 AML65552:AMS65552 AWH65552:AWO65552 BGD65552:BGK65552 BPZ65552:BQG65552 BZV65552:CAC65552 CJR65552:CJY65552 CTN65552:CTU65552 DDJ65552:DDQ65552 DNF65552:DNM65552 DXB65552:DXI65552 EGX65552:EHE65552 EQT65552:ERA65552 FAP65552:FAW65552 FKL65552:FKS65552 FUH65552:FUO65552 GED65552:GEK65552 GNZ65552:GOG65552 GXV65552:GYC65552 HHR65552:HHY65552 HRN65552:HRU65552 IBJ65552:IBQ65552 ILF65552:ILM65552 IVB65552:IVI65552 JEX65552:JFE65552 JOT65552:JPA65552 JYP65552:JYW65552 KIL65552:KIS65552 KSH65552:KSO65552 LCD65552:LCK65552 LLZ65552:LMG65552 LVV65552:LWC65552 MFR65552:MFY65552 MPN65552:MPU65552 MZJ65552:MZQ65552 NJF65552:NJM65552 NTB65552:NTI65552 OCX65552:ODE65552 OMT65552:ONA65552 OWP65552:OWW65552 PGL65552:PGS65552 PQH65552:PQO65552 QAD65552:QAK65552 QJZ65552:QKG65552 QTV65552:QUC65552 RDR65552:RDY65552 RNN65552:RNU65552 RXJ65552:RXQ65552 SHF65552:SHM65552 SRB65552:SRI65552 TAX65552:TBE65552 TKT65552:TLA65552 TUP65552:TUW65552 UEL65552:UES65552 UOH65552:UOO65552 UYD65552:UYK65552 VHZ65552:VIG65552 VRV65552:VSC65552 WBR65552:WBY65552 WLN65552:WLU65552 WVJ65552:WVQ65552 B131088:I131088 IX131088:JE131088 ST131088:TA131088 ACP131088:ACW131088 AML131088:AMS131088 AWH131088:AWO131088 BGD131088:BGK131088 BPZ131088:BQG131088 BZV131088:CAC131088 CJR131088:CJY131088 CTN131088:CTU131088 DDJ131088:DDQ131088 DNF131088:DNM131088 DXB131088:DXI131088 EGX131088:EHE131088 EQT131088:ERA131088 FAP131088:FAW131088 FKL131088:FKS131088 FUH131088:FUO131088 GED131088:GEK131088 GNZ131088:GOG131088 GXV131088:GYC131088 HHR131088:HHY131088 HRN131088:HRU131088 IBJ131088:IBQ131088 ILF131088:ILM131088 IVB131088:IVI131088 JEX131088:JFE131088 JOT131088:JPA131088 JYP131088:JYW131088 KIL131088:KIS131088 KSH131088:KSO131088 LCD131088:LCK131088 LLZ131088:LMG131088 LVV131088:LWC131088 MFR131088:MFY131088 MPN131088:MPU131088 MZJ131088:MZQ131088 NJF131088:NJM131088 NTB131088:NTI131088 OCX131088:ODE131088 OMT131088:ONA131088 OWP131088:OWW131088 PGL131088:PGS131088 PQH131088:PQO131088 QAD131088:QAK131088 QJZ131088:QKG131088 QTV131088:QUC131088 RDR131088:RDY131088 RNN131088:RNU131088 RXJ131088:RXQ131088 SHF131088:SHM131088 SRB131088:SRI131088 TAX131088:TBE131088 TKT131088:TLA131088 TUP131088:TUW131088 UEL131088:UES131088 UOH131088:UOO131088 UYD131088:UYK131088 VHZ131088:VIG131088 VRV131088:VSC131088 WBR131088:WBY131088 WLN131088:WLU131088 WVJ131088:WVQ131088 B196624:I196624 IX196624:JE196624 ST196624:TA196624 ACP196624:ACW196624 AML196624:AMS196624 AWH196624:AWO196624 BGD196624:BGK196624 BPZ196624:BQG196624 BZV196624:CAC196624 CJR196624:CJY196624 CTN196624:CTU196624 DDJ196624:DDQ196624 DNF196624:DNM196624 DXB196624:DXI196624 EGX196624:EHE196624 EQT196624:ERA196624 FAP196624:FAW196624 FKL196624:FKS196624 FUH196624:FUO196624 GED196624:GEK196624 GNZ196624:GOG196624 GXV196624:GYC196624 HHR196624:HHY196624 HRN196624:HRU196624 IBJ196624:IBQ196624 ILF196624:ILM196624 IVB196624:IVI196624 JEX196624:JFE196624 JOT196624:JPA196624 JYP196624:JYW196624 KIL196624:KIS196624 KSH196624:KSO196624 LCD196624:LCK196624 LLZ196624:LMG196624 LVV196624:LWC196624 MFR196624:MFY196624 MPN196624:MPU196624 MZJ196624:MZQ196624 NJF196624:NJM196624 NTB196624:NTI196624 OCX196624:ODE196624 OMT196624:ONA196624 OWP196624:OWW196624 PGL196624:PGS196624 PQH196624:PQO196624 QAD196624:QAK196624 QJZ196624:QKG196624 QTV196624:QUC196624 RDR196624:RDY196624 RNN196624:RNU196624 RXJ196624:RXQ196624 SHF196624:SHM196624 SRB196624:SRI196624 TAX196624:TBE196624 TKT196624:TLA196624 TUP196624:TUW196624 UEL196624:UES196624 UOH196624:UOO196624 UYD196624:UYK196624 VHZ196624:VIG196624 VRV196624:VSC196624 WBR196624:WBY196624 WLN196624:WLU196624 WVJ196624:WVQ196624 B262160:I262160 IX262160:JE262160 ST262160:TA262160 ACP262160:ACW262160 AML262160:AMS262160 AWH262160:AWO262160 BGD262160:BGK262160 BPZ262160:BQG262160 BZV262160:CAC262160 CJR262160:CJY262160 CTN262160:CTU262160 DDJ262160:DDQ262160 DNF262160:DNM262160 DXB262160:DXI262160 EGX262160:EHE262160 EQT262160:ERA262160 FAP262160:FAW262160 FKL262160:FKS262160 FUH262160:FUO262160 GED262160:GEK262160 GNZ262160:GOG262160 GXV262160:GYC262160 HHR262160:HHY262160 HRN262160:HRU262160 IBJ262160:IBQ262160 ILF262160:ILM262160 IVB262160:IVI262160 JEX262160:JFE262160 JOT262160:JPA262160 JYP262160:JYW262160 KIL262160:KIS262160 KSH262160:KSO262160 LCD262160:LCK262160 LLZ262160:LMG262160 LVV262160:LWC262160 MFR262160:MFY262160 MPN262160:MPU262160 MZJ262160:MZQ262160 NJF262160:NJM262160 NTB262160:NTI262160 OCX262160:ODE262160 OMT262160:ONA262160 OWP262160:OWW262160 PGL262160:PGS262160 PQH262160:PQO262160 QAD262160:QAK262160 QJZ262160:QKG262160 QTV262160:QUC262160 RDR262160:RDY262160 RNN262160:RNU262160 RXJ262160:RXQ262160 SHF262160:SHM262160 SRB262160:SRI262160 TAX262160:TBE262160 TKT262160:TLA262160 TUP262160:TUW262160 UEL262160:UES262160 UOH262160:UOO262160 UYD262160:UYK262160 VHZ262160:VIG262160 VRV262160:VSC262160 WBR262160:WBY262160 WLN262160:WLU262160 WVJ262160:WVQ262160 B327696:I327696 IX327696:JE327696 ST327696:TA327696 ACP327696:ACW327696 AML327696:AMS327696 AWH327696:AWO327696 BGD327696:BGK327696 BPZ327696:BQG327696 BZV327696:CAC327696 CJR327696:CJY327696 CTN327696:CTU327696 DDJ327696:DDQ327696 DNF327696:DNM327696 DXB327696:DXI327696 EGX327696:EHE327696 EQT327696:ERA327696 FAP327696:FAW327696 FKL327696:FKS327696 FUH327696:FUO327696 GED327696:GEK327696 GNZ327696:GOG327696 GXV327696:GYC327696 HHR327696:HHY327696 HRN327696:HRU327696 IBJ327696:IBQ327696 ILF327696:ILM327696 IVB327696:IVI327696 JEX327696:JFE327696 JOT327696:JPA327696 JYP327696:JYW327696 KIL327696:KIS327696 KSH327696:KSO327696 LCD327696:LCK327696 LLZ327696:LMG327696 LVV327696:LWC327696 MFR327696:MFY327696 MPN327696:MPU327696 MZJ327696:MZQ327696 NJF327696:NJM327696 NTB327696:NTI327696 OCX327696:ODE327696 OMT327696:ONA327696 OWP327696:OWW327696 PGL327696:PGS327696 PQH327696:PQO327696 QAD327696:QAK327696 QJZ327696:QKG327696 QTV327696:QUC327696 RDR327696:RDY327696 RNN327696:RNU327696 RXJ327696:RXQ327696 SHF327696:SHM327696 SRB327696:SRI327696 TAX327696:TBE327696 TKT327696:TLA327696 TUP327696:TUW327696 UEL327696:UES327696 UOH327696:UOO327696 UYD327696:UYK327696 VHZ327696:VIG327696 VRV327696:VSC327696 WBR327696:WBY327696 WLN327696:WLU327696 WVJ327696:WVQ327696 B393232:I393232 IX393232:JE393232 ST393232:TA393232 ACP393232:ACW393232 AML393232:AMS393232 AWH393232:AWO393232 BGD393232:BGK393232 BPZ393232:BQG393232 BZV393232:CAC393232 CJR393232:CJY393232 CTN393232:CTU393232 DDJ393232:DDQ393232 DNF393232:DNM393232 DXB393232:DXI393232 EGX393232:EHE393232 EQT393232:ERA393232 FAP393232:FAW393232 FKL393232:FKS393232 FUH393232:FUO393232 GED393232:GEK393232 GNZ393232:GOG393232 GXV393232:GYC393232 HHR393232:HHY393232 HRN393232:HRU393232 IBJ393232:IBQ393232 ILF393232:ILM393232 IVB393232:IVI393232 JEX393232:JFE393232 JOT393232:JPA393232 JYP393232:JYW393232 KIL393232:KIS393232 KSH393232:KSO393232 LCD393232:LCK393232 LLZ393232:LMG393232 LVV393232:LWC393232 MFR393232:MFY393232 MPN393232:MPU393232 MZJ393232:MZQ393232 NJF393232:NJM393232 NTB393232:NTI393232 OCX393232:ODE393232 OMT393232:ONA393232 OWP393232:OWW393232 PGL393232:PGS393232 PQH393232:PQO393232 QAD393232:QAK393232 QJZ393232:QKG393232 QTV393232:QUC393232 RDR393232:RDY393232 RNN393232:RNU393232 RXJ393232:RXQ393232 SHF393232:SHM393232 SRB393232:SRI393232 TAX393232:TBE393232 TKT393232:TLA393232 TUP393232:TUW393232 UEL393232:UES393232 UOH393232:UOO393232 UYD393232:UYK393232 VHZ393232:VIG393232 VRV393232:VSC393232 WBR393232:WBY393232 WLN393232:WLU393232 WVJ393232:WVQ393232 B458768:I458768 IX458768:JE458768 ST458768:TA458768 ACP458768:ACW458768 AML458768:AMS458768 AWH458768:AWO458768 BGD458768:BGK458768 BPZ458768:BQG458768 BZV458768:CAC458768 CJR458768:CJY458768 CTN458768:CTU458768 DDJ458768:DDQ458768 DNF458768:DNM458768 DXB458768:DXI458768 EGX458768:EHE458768 EQT458768:ERA458768 FAP458768:FAW458768 FKL458768:FKS458768 FUH458768:FUO458768 GED458768:GEK458768 GNZ458768:GOG458768 GXV458768:GYC458768 HHR458768:HHY458768 HRN458768:HRU458768 IBJ458768:IBQ458768 ILF458768:ILM458768 IVB458768:IVI458768 JEX458768:JFE458768 JOT458768:JPA458768 JYP458768:JYW458768 KIL458768:KIS458768 KSH458768:KSO458768 LCD458768:LCK458768 LLZ458768:LMG458768 LVV458768:LWC458768 MFR458768:MFY458768 MPN458768:MPU458768 MZJ458768:MZQ458768 NJF458768:NJM458768 NTB458768:NTI458768 OCX458768:ODE458768 OMT458768:ONA458768 OWP458768:OWW458768 PGL458768:PGS458768 PQH458768:PQO458768 QAD458768:QAK458768 QJZ458768:QKG458768 QTV458768:QUC458768 RDR458768:RDY458768 RNN458768:RNU458768 RXJ458768:RXQ458768 SHF458768:SHM458768 SRB458768:SRI458768 TAX458768:TBE458768 TKT458768:TLA458768 TUP458768:TUW458768 UEL458768:UES458768 UOH458768:UOO458768 UYD458768:UYK458768 VHZ458768:VIG458768 VRV458768:VSC458768 WBR458768:WBY458768 WLN458768:WLU458768 WVJ458768:WVQ458768 B524304:I524304 IX524304:JE524304 ST524304:TA524304 ACP524304:ACW524304 AML524304:AMS524304 AWH524304:AWO524304 BGD524304:BGK524304 BPZ524304:BQG524304 BZV524304:CAC524304 CJR524304:CJY524304 CTN524304:CTU524304 DDJ524304:DDQ524304 DNF524304:DNM524304 DXB524304:DXI524304 EGX524304:EHE524304 EQT524304:ERA524304 FAP524304:FAW524304 FKL524304:FKS524304 FUH524304:FUO524304 GED524304:GEK524304 GNZ524304:GOG524304 GXV524304:GYC524304 HHR524304:HHY524304 HRN524304:HRU524304 IBJ524304:IBQ524304 ILF524304:ILM524304 IVB524304:IVI524304 JEX524304:JFE524304 JOT524304:JPA524304 JYP524304:JYW524304 KIL524304:KIS524304 KSH524304:KSO524304 LCD524304:LCK524304 LLZ524304:LMG524304 LVV524304:LWC524304 MFR524304:MFY524304 MPN524304:MPU524304 MZJ524304:MZQ524304 NJF524304:NJM524304 NTB524304:NTI524304 OCX524304:ODE524304 OMT524304:ONA524304 OWP524304:OWW524304 PGL524304:PGS524304 PQH524304:PQO524304 QAD524304:QAK524304 QJZ524304:QKG524304 QTV524304:QUC524304 RDR524304:RDY524304 RNN524304:RNU524304 RXJ524304:RXQ524304 SHF524304:SHM524304 SRB524304:SRI524304 TAX524304:TBE524304 TKT524304:TLA524304 TUP524304:TUW524304 UEL524304:UES524304 UOH524304:UOO524304 UYD524304:UYK524304 VHZ524304:VIG524304 VRV524304:VSC524304 WBR524304:WBY524304 WLN524304:WLU524304 WVJ524304:WVQ524304 B589840:I589840 IX589840:JE589840 ST589840:TA589840 ACP589840:ACW589840 AML589840:AMS589840 AWH589840:AWO589840 BGD589840:BGK589840 BPZ589840:BQG589840 BZV589840:CAC589840 CJR589840:CJY589840 CTN589840:CTU589840 DDJ589840:DDQ589840 DNF589840:DNM589840 DXB589840:DXI589840 EGX589840:EHE589840 EQT589840:ERA589840 FAP589840:FAW589840 FKL589840:FKS589840 FUH589840:FUO589840 GED589840:GEK589840 GNZ589840:GOG589840 GXV589840:GYC589840 HHR589840:HHY589840 HRN589840:HRU589840 IBJ589840:IBQ589840 ILF589840:ILM589840 IVB589840:IVI589840 JEX589840:JFE589840 JOT589840:JPA589840 JYP589840:JYW589840 KIL589840:KIS589840 KSH589840:KSO589840 LCD589840:LCK589840 LLZ589840:LMG589840 LVV589840:LWC589840 MFR589840:MFY589840 MPN589840:MPU589840 MZJ589840:MZQ589840 NJF589840:NJM589840 NTB589840:NTI589840 OCX589840:ODE589840 OMT589840:ONA589840 OWP589840:OWW589840 PGL589840:PGS589840 PQH589840:PQO589840 QAD589840:QAK589840 QJZ589840:QKG589840 QTV589840:QUC589840 RDR589840:RDY589840 RNN589840:RNU589840 RXJ589840:RXQ589840 SHF589840:SHM589840 SRB589840:SRI589840 TAX589840:TBE589840 TKT589840:TLA589840 TUP589840:TUW589840 UEL589840:UES589840 UOH589840:UOO589840 UYD589840:UYK589840 VHZ589840:VIG589840 VRV589840:VSC589840 WBR589840:WBY589840 WLN589840:WLU589840 WVJ589840:WVQ589840 B655376:I655376 IX655376:JE655376 ST655376:TA655376 ACP655376:ACW655376 AML655376:AMS655376 AWH655376:AWO655376 BGD655376:BGK655376 BPZ655376:BQG655376 BZV655376:CAC655376 CJR655376:CJY655376 CTN655376:CTU655376 DDJ655376:DDQ655376 DNF655376:DNM655376 DXB655376:DXI655376 EGX655376:EHE655376 EQT655376:ERA655376 FAP655376:FAW655376 FKL655376:FKS655376 FUH655376:FUO655376 GED655376:GEK655376 GNZ655376:GOG655376 GXV655376:GYC655376 HHR655376:HHY655376 HRN655376:HRU655376 IBJ655376:IBQ655376 ILF655376:ILM655376 IVB655376:IVI655376 JEX655376:JFE655376 JOT655376:JPA655376 JYP655376:JYW655376 KIL655376:KIS655376 KSH655376:KSO655376 LCD655376:LCK655376 LLZ655376:LMG655376 LVV655376:LWC655376 MFR655376:MFY655376 MPN655376:MPU655376 MZJ655376:MZQ655376 NJF655376:NJM655376 NTB655376:NTI655376 OCX655376:ODE655376 OMT655376:ONA655376 OWP655376:OWW655376 PGL655376:PGS655376 PQH655376:PQO655376 QAD655376:QAK655376 QJZ655376:QKG655376 QTV655376:QUC655376 RDR655376:RDY655376 RNN655376:RNU655376 RXJ655376:RXQ655376 SHF655376:SHM655376 SRB655376:SRI655376 TAX655376:TBE655376 TKT655376:TLA655376 TUP655376:TUW655376 UEL655376:UES655376 UOH655376:UOO655376 UYD655376:UYK655376 VHZ655376:VIG655376 VRV655376:VSC655376 WBR655376:WBY655376 WLN655376:WLU655376 WVJ655376:WVQ655376 B720912:I720912 IX720912:JE720912 ST720912:TA720912 ACP720912:ACW720912 AML720912:AMS720912 AWH720912:AWO720912 BGD720912:BGK720912 BPZ720912:BQG720912 BZV720912:CAC720912 CJR720912:CJY720912 CTN720912:CTU720912 DDJ720912:DDQ720912 DNF720912:DNM720912 DXB720912:DXI720912 EGX720912:EHE720912 EQT720912:ERA720912 FAP720912:FAW720912 FKL720912:FKS720912 FUH720912:FUO720912 GED720912:GEK720912 GNZ720912:GOG720912 GXV720912:GYC720912 HHR720912:HHY720912 HRN720912:HRU720912 IBJ720912:IBQ720912 ILF720912:ILM720912 IVB720912:IVI720912 JEX720912:JFE720912 JOT720912:JPA720912 JYP720912:JYW720912 KIL720912:KIS720912 KSH720912:KSO720912 LCD720912:LCK720912 LLZ720912:LMG720912 LVV720912:LWC720912 MFR720912:MFY720912 MPN720912:MPU720912 MZJ720912:MZQ720912 NJF720912:NJM720912 NTB720912:NTI720912 OCX720912:ODE720912 OMT720912:ONA720912 OWP720912:OWW720912 PGL720912:PGS720912 PQH720912:PQO720912 QAD720912:QAK720912 QJZ720912:QKG720912 QTV720912:QUC720912 RDR720912:RDY720912 RNN720912:RNU720912 RXJ720912:RXQ720912 SHF720912:SHM720912 SRB720912:SRI720912 TAX720912:TBE720912 TKT720912:TLA720912 TUP720912:TUW720912 UEL720912:UES720912 UOH720912:UOO720912 UYD720912:UYK720912 VHZ720912:VIG720912 VRV720912:VSC720912 WBR720912:WBY720912 WLN720912:WLU720912 WVJ720912:WVQ720912 B786448:I786448 IX786448:JE786448 ST786448:TA786448 ACP786448:ACW786448 AML786448:AMS786448 AWH786448:AWO786448 BGD786448:BGK786448 BPZ786448:BQG786448 BZV786448:CAC786448 CJR786448:CJY786448 CTN786448:CTU786448 DDJ786448:DDQ786448 DNF786448:DNM786448 DXB786448:DXI786448 EGX786448:EHE786448 EQT786448:ERA786448 FAP786448:FAW786448 FKL786448:FKS786448 FUH786448:FUO786448 GED786448:GEK786448 GNZ786448:GOG786448 GXV786448:GYC786448 HHR786448:HHY786448 HRN786448:HRU786448 IBJ786448:IBQ786448 ILF786448:ILM786448 IVB786448:IVI786448 JEX786448:JFE786448 JOT786448:JPA786448 JYP786448:JYW786448 KIL786448:KIS786448 KSH786448:KSO786448 LCD786448:LCK786448 LLZ786448:LMG786448 LVV786448:LWC786448 MFR786448:MFY786448 MPN786448:MPU786448 MZJ786448:MZQ786448 NJF786448:NJM786448 NTB786448:NTI786448 OCX786448:ODE786448 OMT786448:ONA786448 OWP786448:OWW786448 PGL786448:PGS786448 PQH786448:PQO786448 QAD786448:QAK786448 QJZ786448:QKG786448 QTV786448:QUC786448 RDR786448:RDY786448 RNN786448:RNU786448 RXJ786448:RXQ786448 SHF786448:SHM786448 SRB786448:SRI786448 TAX786448:TBE786448 TKT786448:TLA786448 TUP786448:TUW786448 UEL786448:UES786448 UOH786448:UOO786448 UYD786448:UYK786448 VHZ786448:VIG786448 VRV786448:VSC786448 WBR786448:WBY786448 WLN786448:WLU786448 WVJ786448:WVQ786448 B851984:I851984 IX851984:JE851984 ST851984:TA851984 ACP851984:ACW851984 AML851984:AMS851984 AWH851984:AWO851984 BGD851984:BGK851984 BPZ851984:BQG851984 BZV851984:CAC851984 CJR851984:CJY851984 CTN851984:CTU851984 DDJ851984:DDQ851984 DNF851984:DNM851984 DXB851984:DXI851984 EGX851984:EHE851984 EQT851984:ERA851984 FAP851984:FAW851984 FKL851984:FKS851984 FUH851984:FUO851984 GED851984:GEK851984 GNZ851984:GOG851984 GXV851984:GYC851984 HHR851984:HHY851984 HRN851984:HRU851984 IBJ851984:IBQ851984 ILF851984:ILM851984 IVB851984:IVI851984 JEX851984:JFE851984 JOT851984:JPA851984 JYP851984:JYW851984 KIL851984:KIS851984 KSH851984:KSO851984 LCD851984:LCK851984 LLZ851984:LMG851984 LVV851984:LWC851984 MFR851984:MFY851984 MPN851984:MPU851984 MZJ851984:MZQ851984 NJF851984:NJM851984 NTB851984:NTI851984 OCX851984:ODE851984 OMT851984:ONA851984 OWP851984:OWW851984 PGL851984:PGS851984 PQH851984:PQO851984 QAD851984:QAK851984 QJZ851984:QKG851984 QTV851984:QUC851984 RDR851984:RDY851984 RNN851984:RNU851984 RXJ851984:RXQ851984 SHF851984:SHM851984 SRB851984:SRI851984 TAX851984:TBE851984 TKT851984:TLA851984 TUP851984:TUW851984 UEL851984:UES851984 UOH851984:UOO851984 UYD851984:UYK851984 VHZ851984:VIG851984 VRV851984:VSC851984 WBR851984:WBY851984 WLN851984:WLU851984 WVJ851984:WVQ851984 B917520:I917520 IX917520:JE917520 ST917520:TA917520 ACP917520:ACW917520 AML917520:AMS917520 AWH917520:AWO917520 BGD917520:BGK917520 BPZ917520:BQG917520 BZV917520:CAC917520 CJR917520:CJY917520 CTN917520:CTU917520 DDJ917520:DDQ917520 DNF917520:DNM917520 DXB917520:DXI917520 EGX917520:EHE917520 EQT917520:ERA917520 FAP917520:FAW917520 FKL917520:FKS917520 FUH917520:FUO917520 GED917520:GEK917520 GNZ917520:GOG917520 GXV917520:GYC917520 HHR917520:HHY917520 HRN917520:HRU917520 IBJ917520:IBQ917520 ILF917520:ILM917520 IVB917520:IVI917520 JEX917520:JFE917520 JOT917520:JPA917520 JYP917520:JYW917520 KIL917520:KIS917520 KSH917520:KSO917520 LCD917520:LCK917520 LLZ917520:LMG917520 LVV917520:LWC917520 MFR917520:MFY917520 MPN917520:MPU917520 MZJ917520:MZQ917520 NJF917520:NJM917520 NTB917520:NTI917520 OCX917520:ODE917520 OMT917520:ONA917520 OWP917520:OWW917520 PGL917520:PGS917520 PQH917520:PQO917520 QAD917520:QAK917520 QJZ917520:QKG917520 QTV917520:QUC917520 RDR917520:RDY917520 RNN917520:RNU917520 RXJ917520:RXQ917520 SHF917520:SHM917520 SRB917520:SRI917520 TAX917520:TBE917520 TKT917520:TLA917520 TUP917520:TUW917520 UEL917520:UES917520 UOH917520:UOO917520 UYD917520:UYK917520 VHZ917520:VIG917520 VRV917520:VSC917520 WBR917520:WBY917520 WLN917520:WLU917520 WVJ917520:WVQ917520 B983056:I983056 IX983056:JE983056 ST983056:TA983056 ACP983056:ACW983056 AML983056:AMS983056 AWH983056:AWO983056 BGD983056:BGK983056 BPZ983056:BQG983056 BZV983056:CAC983056 CJR983056:CJY983056 CTN983056:CTU983056 DDJ983056:DDQ983056 DNF983056:DNM983056 DXB983056:DXI983056 EGX983056:EHE983056 EQT983056:ERA983056 FAP983056:FAW983056 FKL983056:FKS983056 FUH983056:FUO983056 GED983056:GEK983056 GNZ983056:GOG983056 GXV983056:GYC983056 HHR983056:HHY983056 HRN983056:HRU983056 IBJ983056:IBQ983056 ILF983056:ILM983056 IVB983056:IVI983056 JEX983056:JFE983056 JOT983056:JPA983056 JYP983056:JYW983056 KIL983056:KIS983056 KSH983056:KSO983056 LCD983056:LCK983056 LLZ983056:LMG983056 LVV983056:LWC983056 MFR983056:MFY983056 MPN983056:MPU983056 MZJ983056:MZQ983056 NJF983056:NJM983056 NTB983056:NTI983056 OCX983056:ODE983056 OMT983056:ONA983056 OWP983056:OWW983056 PGL983056:PGS983056 PQH983056:PQO983056 QAD983056:QAK983056 QJZ983056:QKG983056 QTV983056:QUC983056 RDR983056:RDY983056 RNN983056:RNU983056 RXJ983056:RXQ983056 SHF983056:SHM983056 SRB983056:SRI983056 TAX983056:TBE983056 TKT983056:TLA983056 TUP983056:TUW983056 UEL983056:UES983056 UOH983056:UOO983056 UYD983056:UYK983056 VHZ983056:VIG983056 VRV983056:VSC983056 WBR983056:WBY983056 WLN983056:WLU983056 B16:C16 E16:I16" xr:uid="{00000000-0002-0000-0000-000001000000}">
      <formula1>$K$130:$K$135</formula1>
    </dataValidation>
    <dataValidation type="custom" allowBlank="1" showInputMessage="1" showErrorMessage="1" sqref="WVJ983057:WVQ983057 IX17:JE17 ST17:TA17 ACP17:ACW17 AML17:AMS17 AWH17:AWO17 BGD17:BGK17 BPZ17:BQG17 BZV17:CAC17 CJR17:CJY17 CTN17:CTU17 DDJ17:DDQ17 DNF17:DNM17 DXB17:DXI17 EGX17:EHE17 EQT17:ERA17 FAP17:FAW17 FKL17:FKS17 FUH17:FUO17 GED17:GEK17 GNZ17:GOG17 GXV17:GYC17 HHR17:HHY17 HRN17:HRU17 IBJ17:IBQ17 ILF17:ILM17 IVB17:IVI17 JEX17:JFE17 JOT17:JPA17 JYP17:JYW17 KIL17:KIS17 KSH17:KSO17 LCD17:LCK17 LLZ17:LMG17 LVV17:LWC17 MFR17:MFY17 MPN17:MPU17 MZJ17:MZQ17 NJF17:NJM17 NTB17:NTI17 OCX17:ODE17 OMT17:ONA17 OWP17:OWW17 PGL17:PGS17 PQH17:PQO17 QAD17:QAK17 QJZ17:QKG17 QTV17:QUC17 RDR17:RDY17 RNN17:RNU17 RXJ17:RXQ17 SHF17:SHM17 SRB17:SRI17 TAX17:TBE17 TKT17:TLA17 TUP17:TUW17 UEL17:UES17 UOH17:UOO17 UYD17:UYK17 VHZ17:VIG17 VRV17:VSC17 WBR17:WBY17 WLN17:WLU17 WVJ17:WVQ17 B65553:I65553 IX65553:JE65553 ST65553:TA65553 ACP65553:ACW65553 AML65553:AMS65553 AWH65553:AWO65553 BGD65553:BGK65553 BPZ65553:BQG65553 BZV65553:CAC65553 CJR65553:CJY65553 CTN65553:CTU65553 DDJ65553:DDQ65553 DNF65553:DNM65553 DXB65553:DXI65553 EGX65553:EHE65553 EQT65553:ERA65553 FAP65553:FAW65553 FKL65553:FKS65553 FUH65553:FUO65553 GED65553:GEK65553 GNZ65553:GOG65553 GXV65553:GYC65553 HHR65553:HHY65553 HRN65553:HRU65553 IBJ65553:IBQ65553 ILF65553:ILM65553 IVB65553:IVI65553 JEX65553:JFE65553 JOT65553:JPA65553 JYP65553:JYW65553 KIL65553:KIS65553 KSH65553:KSO65553 LCD65553:LCK65553 LLZ65553:LMG65553 LVV65553:LWC65553 MFR65553:MFY65553 MPN65553:MPU65553 MZJ65553:MZQ65553 NJF65553:NJM65553 NTB65553:NTI65553 OCX65553:ODE65553 OMT65553:ONA65553 OWP65553:OWW65553 PGL65553:PGS65553 PQH65553:PQO65553 QAD65553:QAK65553 QJZ65553:QKG65553 QTV65553:QUC65553 RDR65553:RDY65553 RNN65553:RNU65553 RXJ65553:RXQ65553 SHF65553:SHM65553 SRB65553:SRI65553 TAX65553:TBE65553 TKT65553:TLA65553 TUP65553:TUW65553 UEL65553:UES65553 UOH65553:UOO65553 UYD65553:UYK65553 VHZ65553:VIG65553 VRV65553:VSC65553 WBR65553:WBY65553 WLN65553:WLU65553 WVJ65553:WVQ65553 B131089:I131089 IX131089:JE131089 ST131089:TA131089 ACP131089:ACW131089 AML131089:AMS131089 AWH131089:AWO131089 BGD131089:BGK131089 BPZ131089:BQG131089 BZV131089:CAC131089 CJR131089:CJY131089 CTN131089:CTU131089 DDJ131089:DDQ131089 DNF131089:DNM131089 DXB131089:DXI131089 EGX131089:EHE131089 EQT131089:ERA131089 FAP131089:FAW131089 FKL131089:FKS131089 FUH131089:FUO131089 GED131089:GEK131089 GNZ131089:GOG131089 GXV131089:GYC131089 HHR131089:HHY131089 HRN131089:HRU131089 IBJ131089:IBQ131089 ILF131089:ILM131089 IVB131089:IVI131089 JEX131089:JFE131089 JOT131089:JPA131089 JYP131089:JYW131089 KIL131089:KIS131089 KSH131089:KSO131089 LCD131089:LCK131089 LLZ131089:LMG131089 LVV131089:LWC131089 MFR131089:MFY131089 MPN131089:MPU131089 MZJ131089:MZQ131089 NJF131089:NJM131089 NTB131089:NTI131089 OCX131089:ODE131089 OMT131089:ONA131089 OWP131089:OWW131089 PGL131089:PGS131089 PQH131089:PQO131089 QAD131089:QAK131089 QJZ131089:QKG131089 QTV131089:QUC131089 RDR131089:RDY131089 RNN131089:RNU131089 RXJ131089:RXQ131089 SHF131089:SHM131089 SRB131089:SRI131089 TAX131089:TBE131089 TKT131089:TLA131089 TUP131089:TUW131089 UEL131089:UES131089 UOH131089:UOO131089 UYD131089:UYK131089 VHZ131089:VIG131089 VRV131089:VSC131089 WBR131089:WBY131089 WLN131089:WLU131089 WVJ131089:WVQ131089 B196625:I196625 IX196625:JE196625 ST196625:TA196625 ACP196625:ACW196625 AML196625:AMS196625 AWH196625:AWO196625 BGD196625:BGK196625 BPZ196625:BQG196625 BZV196625:CAC196625 CJR196625:CJY196625 CTN196625:CTU196625 DDJ196625:DDQ196625 DNF196625:DNM196625 DXB196625:DXI196625 EGX196625:EHE196625 EQT196625:ERA196625 FAP196625:FAW196625 FKL196625:FKS196625 FUH196625:FUO196625 GED196625:GEK196625 GNZ196625:GOG196625 GXV196625:GYC196625 HHR196625:HHY196625 HRN196625:HRU196625 IBJ196625:IBQ196625 ILF196625:ILM196625 IVB196625:IVI196625 JEX196625:JFE196625 JOT196625:JPA196625 JYP196625:JYW196625 KIL196625:KIS196625 KSH196625:KSO196625 LCD196625:LCK196625 LLZ196625:LMG196625 LVV196625:LWC196625 MFR196625:MFY196625 MPN196625:MPU196625 MZJ196625:MZQ196625 NJF196625:NJM196625 NTB196625:NTI196625 OCX196625:ODE196625 OMT196625:ONA196625 OWP196625:OWW196625 PGL196625:PGS196625 PQH196625:PQO196625 QAD196625:QAK196625 QJZ196625:QKG196625 QTV196625:QUC196625 RDR196625:RDY196625 RNN196625:RNU196625 RXJ196625:RXQ196625 SHF196625:SHM196625 SRB196625:SRI196625 TAX196625:TBE196625 TKT196625:TLA196625 TUP196625:TUW196625 UEL196625:UES196625 UOH196625:UOO196625 UYD196625:UYK196625 VHZ196625:VIG196625 VRV196625:VSC196625 WBR196625:WBY196625 WLN196625:WLU196625 WVJ196625:WVQ196625 B262161:I262161 IX262161:JE262161 ST262161:TA262161 ACP262161:ACW262161 AML262161:AMS262161 AWH262161:AWO262161 BGD262161:BGK262161 BPZ262161:BQG262161 BZV262161:CAC262161 CJR262161:CJY262161 CTN262161:CTU262161 DDJ262161:DDQ262161 DNF262161:DNM262161 DXB262161:DXI262161 EGX262161:EHE262161 EQT262161:ERA262161 FAP262161:FAW262161 FKL262161:FKS262161 FUH262161:FUO262161 GED262161:GEK262161 GNZ262161:GOG262161 GXV262161:GYC262161 HHR262161:HHY262161 HRN262161:HRU262161 IBJ262161:IBQ262161 ILF262161:ILM262161 IVB262161:IVI262161 JEX262161:JFE262161 JOT262161:JPA262161 JYP262161:JYW262161 KIL262161:KIS262161 KSH262161:KSO262161 LCD262161:LCK262161 LLZ262161:LMG262161 LVV262161:LWC262161 MFR262161:MFY262161 MPN262161:MPU262161 MZJ262161:MZQ262161 NJF262161:NJM262161 NTB262161:NTI262161 OCX262161:ODE262161 OMT262161:ONA262161 OWP262161:OWW262161 PGL262161:PGS262161 PQH262161:PQO262161 QAD262161:QAK262161 QJZ262161:QKG262161 QTV262161:QUC262161 RDR262161:RDY262161 RNN262161:RNU262161 RXJ262161:RXQ262161 SHF262161:SHM262161 SRB262161:SRI262161 TAX262161:TBE262161 TKT262161:TLA262161 TUP262161:TUW262161 UEL262161:UES262161 UOH262161:UOO262161 UYD262161:UYK262161 VHZ262161:VIG262161 VRV262161:VSC262161 WBR262161:WBY262161 WLN262161:WLU262161 WVJ262161:WVQ262161 B327697:I327697 IX327697:JE327697 ST327697:TA327697 ACP327697:ACW327697 AML327697:AMS327697 AWH327697:AWO327697 BGD327697:BGK327697 BPZ327697:BQG327697 BZV327697:CAC327697 CJR327697:CJY327697 CTN327697:CTU327697 DDJ327697:DDQ327697 DNF327697:DNM327697 DXB327697:DXI327697 EGX327697:EHE327697 EQT327697:ERA327697 FAP327697:FAW327697 FKL327697:FKS327697 FUH327697:FUO327697 GED327697:GEK327697 GNZ327697:GOG327697 GXV327697:GYC327697 HHR327697:HHY327697 HRN327697:HRU327697 IBJ327697:IBQ327697 ILF327697:ILM327697 IVB327697:IVI327697 JEX327697:JFE327697 JOT327697:JPA327697 JYP327697:JYW327697 KIL327697:KIS327697 KSH327697:KSO327697 LCD327697:LCK327697 LLZ327697:LMG327697 LVV327697:LWC327697 MFR327697:MFY327697 MPN327697:MPU327697 MZJ327697:MZQ327697 NJF327697:NJM327697 NTB327697:NTI327697 OCX327697:ODE327697 OMT327697:ONA327697 OWP327697:OWW327697 PGL327697:PGS327697 PQH327697:PQO327697 QAD327697:QAK327697 QJZ327697:QKG327697 QTV327697:QUC327697 RDR327697:RDY327697 RNN327697:RNU327697 RXJ327697:RXQ327697 SHF327697:SHM327697 SRB327697:SRI327697 TAX327697:TBE327697 TKT327697:TLA327697 TUP327697:TUW327697 UEL327697:UES327697 UOH327697:UOO327697 UYD327697:UYK327697 VHZ327697:VIG327697 VRV327697:VSC327697 WBR327697:WBY327697 WLN327697:WLU327697 WVJ327697:WVQ327697 B393233:I393233 IX393233:JE393233 ST393233:TA393233 ACP393233:ACW393233 AML393233:AMS393233 AWH393233:AWO393233 BGD393233:BGK393233 BPZ393233:BQG393233 BZV393233:CAC393233 CJR393233:CJY393233 CTN393233:CTU393233 DDJ393233:DDQ393233 DNF393233:DNM393233 DXB393233:DXI393233 EGX393233:EHE393233 EQT393233:ERA393233 FAP393233:FAW393233 FKL393233:FKS393233 FUH393233:FUO393233 GED393233:GEK393233 GNZ393233:GOG393233 GXV393233:GYC393233 HHR393233:HHY393233 HRN393233:HRU393233 IBJ393233:IBQ393233 ILF393233:ILM393233 IVB393233:IVI393233 JEX393233:JFE393233 JOT393233:JPA393233 JYP393233:JYW393233 KIL393233:KIS393233 KSH393233:KSO393233 LCD393233:LCK393233 LLZ393233:LMG393233 LVV393233:LWC393233 MFR393233:MFY393233 MPN393233:MPU393233 MZJ393233:MZQ393233 NJF393233:NJM393233 NTB393233:NTI393233 OCX393233:ODE393233 OMT393233:ONA393233 OWP393233:OWW393233 PGL393233:PGS393233 PQH393233:PQO393233 QAD393233:QAK393233 QJZ393233:QKG393233 QTV393233:QUC393233 RDR393233:RDY393233 RNN393233:RNU393233 RXJ393233:RXQ393233 SHF393233:SHM393233 SRB393233:SRI393233 TAX393233:TBE393233 TKT393233:TLA393233 TUP393233:TUW393233 UEL393233:UES393233 UOH393233:UOO393233 UYD393233:UYK393233 VHZ393233:VIG393233 VRV393233:VSC393233 WBR393233:WBY393233 WLN393233:WLU393233 WVJ393233:WVQ393233 B458769:I458769 IX458769:JE458769 ST458769:TA458769 ACP458769:ACW458769 AML458769:AMS458769 AWH458769:AWO458769 BGD458769:BGK458769 BPZ458769:BQG458769 BZV458769:CAC458769 CJR458769:CJY458769 CTN458769:CTU458769 DDJ458769:DDQ458769 DNF458769:DNM458769 DXB458769:DXI458769 EGX458769:EHE458769 EQT458769:ERA458769 FAP458769:FAW458769 FKL458769:FKS458769 FUH458769:FUO458769 GED458769:GEK458769 GNZ458769:GOG458769 GXV458769:GYC458769 HHR458769:HHY458769 HRN458769:HRU458769 IBJ458769:IBQ458769 ILF458769:ILM458769 IVB458769:IVI458769 JEX458769:JFE458769 JOT458769:JPA458769 JYP458769:JYW458769 KIL458769:KIS458769 KSH458769:KSO458769 LCD458769:LCK458769 LLZ458769:LMG458769 LVV458769:LWC458769 MFR458769:MFY458769 MPN458769:MPU458769 MZJ458769:MZQ458769 NJF458769:NJM458769 NTB458769:NTI458769 OCX458769:ODE458769 OMT458769:ONA458769 OWP458769:OWW458769 PGL458769:PGS458769 PQH458769:PQO458769 QAD458769:QAK458769 QJZ458769:QKG458769 QTV458769:QUC458769 RDR458769:RDY458769 RNN458769:RNU458769 RXJ458769:RXQ458769 SHF458769:SHM458769 SRB458769:SRI458769 TAX458769:TBE458769 TKT458769:TLA458769 TUP458769:TUW458769 UEL458769:UES458769 UOH458769:UOO458769 UYD458769:UYK458769 VHZ458769:VIG458769 VRV458769:VSC458769 WBR458769:WBY458769 WLN458769:WLU458769 WVJ458769:WVQ458769 B524305:I524305 IX524305:JE524305 ST524305:TA524305 ACP524305:ACW524305 AML524305:AMS524305 AWH524305:AWO524305 BGD524305:BGK524305 BPZ524305:BQG524305 BZV524305:CAC524305 CJR524305:CJY524305 CTN524305:CTU524305 DDJ524305:DDQ524305 DNF524305:DNM524305 DXB524305:DXI524305 EGX524305:EHE524305 EQT524305:ERA524305 FAP524305:FAW524305 FKL524305:FKS524305 FUH524305:FUO524305 GED524305:GEK524305 GNZ524305:GOG524305 GXV524305:GYC524305 HHR524305:HHY524305 HRN524305:HRU524305 IBJ524305:IBQ524305 ILF524305:ILM524305 IVB524305:IVI524305 JEX524305:JFE524305 JOT524305:JPA524305 JYP524305:JYW524305 KIL524305:KIS524305 KSH524305:KSO524305 LCD524305:LCK524305 LLZ524305:LMG524305 LVV524305:LWC524305 MFR524305:MFY524305 MPN524305:MPU524305 MZJ524305:MZQ524305 NJF524305:NJM524305 NTB524305:NTI524305 OCX524305:ODE524305 OMT524305:ONA524305 OWP524305:OWW524305 PGL524305:PGS524305 PQH524305:PQO524305 QAD524305:QAK524305 QJZ524305:QKG524305 QTV524305:QUC524305 RDR524305:RDY524305 RNN524305:RNU524305 RXJ524305:RXQ524305 SHF524305:SHM524305 SRB524305:SRI524305 TAX524305:TBE524305 TKT524305:TLA524305 TUP524305:TUW524305 UEL524305:UES524305 UOH524305:UOO524305 UYD524305:UYK524305 VHZ524305:VIG524305 VRV524305:VSC524305 WBR524305:WBY524305 WLN524305:WLU524305 WVJ524305:WVQ524305 B589841:I589841 IX589841:JE589841 ST589841:TA589841 ACP589841:ACW589841 AML589841:AMS589841 AWH589841:AWO589841 BGD589841:BGK589841 BPZ589841:BQG589841 BZV589841:CAC589841 CJR589841:CJY589841 CTN589841:CTU589841 DDJ589841:DDQ589841 DNF589841:DNM589841 DXB589841:DXI589841 EGX589841:EHE589841 EQT589841:ERA589841 FAP589841:FAW589841 FKL589841:FKS589841 FUH589841:FUO589841 GED589841:GEK589841 GNZ589841:GOG589841 GXV589841:GYC589841 HHR589841:HHY589841 HRN589841:HRU589841 IBJ589841:IBQ589841 ILF589841:ILM589841 IVB589841:IVI589841 JEX589841:JFE589841 JOT589841:JPA589841 JYP589841:JYW589841 KIL589841:KIS589841 KSH589841:KSO589841 LCD589841:LCK589841 LLZ589841:LMG589841 LVV589841:LWC589841 MFR589841:MFY589841 MPN589841:MPU589841 MZJ589841:MZQ589841 NJF589841:NJM589841 NTB589841:NTI589841 OCX589841:ODE589841 OMT589841:ONA589841 OWP589841:OWW589841 PGL589841:PGS589841 PQH589841:PQO589841 QAD589841:QAK589841 QJZ589841:QKG589841 QTV589841:QUC589841 RDR589841:RDY589841 RNN589841:RNU589841 RXJ589841:RXQ589841 SHF589841:SHM589841 SRB589841:SRI589841 TAX589841:TBE589841 TKT589841:TLA589841 TUP589841:TUW589841 UEL589841:UES589841 UOH589841:UOO589841 UYD589841:UYK589841 VHZ589841:VIG589841 VRV589841:VSC589841 WBR589841:WBY589841 WLN589841:WLU589841 WVJ589841:WVQ589841 B655377:I655377 IX655377:JE655377 ST655377:TA655377 ACP655377:ACW655377 AML655377:AMS655377 AWH655377:AWO655377 BGD655377:BGK655377 BPZ655377:BQG655377 BZV655377:CAC655377 CJR655377:CJY655377 CTN655377:CTU655377 DDJ655377:DDQ655377 DNF655377:DNM655377 DXB655377:DXI655377 EGX655377:EHE655377 EQT655377:ERA655377 FAP655377:FAW655377 FKL655377:FKS655377 FUH655377:FUO655377 GED655377:GEK655377 GNZ655377:GOG655377 GXV655377:GYC655377 HHR655377:HHY655377 HRN655377:HRU655377 IBJ655377:IBQ655377 ILF655377:ILM655377 IVB655377:IVI655377 JEX655377:JFE655377 JOT655377:JPA655377 JYP655377:JYW655377 KIL655377:KIS655377 KSH655377:KSO655377 LCD655377:LCK655377 LLZ655377:LMG655377 LVV655377:LWC655377 MFR655377:MFY655377 MPN655377:MPU655377 MZJ655377:MZQ655377 NJF655377:NJM655377 NTB655377:NTI655377 OCX655377:ODE655377 OMT655377:ONA655377 OWP655377:OWW655377 PGL655377:PGS655377 PQH655377:PQO655377 QAD655377:QAK655377 QJZ655377:QKG655377 QTV655377:QUC655377 RDR655377:RDY655377 RNN655377:RNU655377 RXJ655377:RXQ655377 SHF655377:SHM655377 SRB655377:SRI655377 TAX655377:TBE655377 TKT655377:TLA655377 TUP655377:TUW655377 UEL655377:UES655377 UOH655377:UOO655377 UYD655377:UYK655377 VHZ655377:VIG655377 VRV655377:VSC655377 WBR655377:WBY655377 WLN655377:WLU655377 WVJ655377:WVQ655377 B720913:I720913 IX720913:JE720913 ST720913:TA720913 ACP720913:ACW720913 AML720913:AMS720913 AWH720913:AWO720913 BGD720913:BGK720913 BPZ720913:BQG720913 BZV720913:CAC720913 CJR720913:CJY720913 CTN720913:CTU720913 DDJ720913:DDQ720913 DNF720913:DNM720913 DXB720913:DXI720913 EGX720913:EHE720913 EQT720913:ERA720913 FAP720913:FAW720913 FKL720913:FKS720913 FUH720913:FUO720913 GED720913:GEK720913 GNZ720913:GOG720913 GXV720913:GYC720913 HHR720913:HHY720913 HRN720913:HRU720913 IBJ720913:IBQ720913 ILF720913:ILM720913 IVB720913:IVI720913 JEX720913:JFE720913 JOT720913:JPA720913 JYP720913:JYW720913 KIL720913:KIS720913 KSH720913:KSO720913 LCD720913:LCK720913 LLZ720913:LMG720913 LVV720913:LWC720913 MFR720913:MFY720913 MPN720913:MPU720913 MZJ720913:MZQ720913 NJF720913:NJM720913 NTB720913:NTI720913 OCX720913:ODE720913 OMT720913:ONA720913 OWP720913:OWW720913 PGL720913:PGS720913 PQH720913:PQO720913 QAD720913:QAK720913 QJZ720913:QKG720913 QTV720913:QUC720913 RDR720913:RDY720913 RNN720913:RNU720913 RXJ720913:RXQ720913 SHF720913:SHM720913 SRB720913:SRI720913 TAX720913:TBE720913 TKT720913:TLA720913 TUP720913:TUW720913 UEL720913:UES720913 UOH720913:UOO720913 UYD720913:UYK720913 VHZ720913:VIG720913 VRV720913:VSC720913 WBR720913:WBY720913 WLN720913:WLU720913 WVJ720913:WVQ720913 B786449:I786449 IX786449:JE786449 ST786449:TA786449 ACP786449:ACW786449 AML786449:AMS786449 AWH786449:AWO786449 BGD786449:BGK786449 BPZ786449:BQG786449 BZV786449:CAC786449 CJR786449:CJY786449 CTN786449:CTU786449 DDJ786449:DDQ786449 DNF786449:DNM786449 DXB786449:DXI786449 EGX786449:EHE786449 EQT786449:ERA786449 FAP786449:FAW786449 FKL786449:FKS786449 FUH786449:FUO786449 GED786449:GEK786449 GNZ786449:GOG786449 GXV786449:GYC786449 HHR786449:HHY786449 HRN786449:HRU786449 IBJ786449:IBQ786449 ILF786449:ILM786449 IVB786449:IVI786449 JEX786449:JFE786449 JOT786449:JPA786449 JYP786449:JYW786449 KIL786449:KIS786449 KSH786449:KSO786449 LCD786449:LCK786449 LLZ786449:LMG786449 LVV786449:LWC786449 MFR786449:MFY786449 MPN786449:MPU786449 MZJ786449:MZQ786449 NJF786449:NJM786449 NTB786449:NTI786449 OCX786449:ODE786449 OMT786449:ONA786449 OWP786449:OWW786449 PGL786449:PGS786449 PQH786449:PQO786449 QAD786449:QAK786449 QJZ786449:QKG786449 QTV786449:QUC786449 RDR786449:RDY786449 RNN786449:RNU786449 RXJ786449:RXQ786449 SHF786449:SHM786449 SRB786449:SRI786449 TAX786449:TBE786449 TKT786449:TLA786449 TUP786449:TUW786449 UEL786449:UES786449 UOH786449:UOO786449 UYD786449:UYK786449 VHZ786449:VIG786449 VRV786449:VSC786449 WBR786449:WBY786449 WLN786449:WLU786449 WVJ786449:WVQ786449 B851985:I851985 IX851985:JE851985 ST851985:TA851985 ACP851985:ACW851985 AML851985:AMS851985 AWH851985:AWO851985 BGD851985:BGK851985 BPZ851985:BQG851985 BZV851985:CAC851985 CJR851985:CJY851985 CTN851985:CTU851985 DDJ851985:DDQ851985 DNF851985:DNM851985 DXB851985:DXI851985 EGX851985:EHE851985 EQT851985:ERA851985 FAP851985:FAW851985 FKL851985:FKS851985 FUH851985:FUO851985 GED851985:GEK851985 GNZ851985:GOG851985 GXV851985:GYC851985 HHR851985:HHY851985 HRN851985:HRU851985 IBJ851985:IBQ851985 ILF851985:ILM851985 IVB851985:IVI851985 JEX851985:JFE851985 JOT851985:JPA851985 JYP851985:JYW851985 KIL851985:KIS851985 KSH851985:KSO851985 LCD851985:LCK851985 LLZ851985:LMG851985 LVV851985:LWC851985 MFR851985:MFY851985 MPN851985:MPU851985 MZJ851985:MZQ851985 NJF851985:NJM851985 NTB851985:NTI851985 OCX851985:ODE851985 OMT851985:ONA851985 OWP851985:OWW851985 PGL851985:PGS851985 PQH851985:PQO851985 QAD851985:QAK851985 QJZ851985:QKG851985 QTV851985:QUC851985 RDR851985:RDY851985 RNN851985:RNU851985 RXJ851985:RXQ851985 SHF851985:SHM851985 SRB851985:SRI851985 TAX851985:TBE851985 TKT851985:TLA851985 TUP851985:TUW851985 UEL851985:UES851985 UOH851985:UOO851985 UYD851985:UYK851985 VHZ851985:VIG851985 VRV851985:VSC851985 WBR851985:WBY851985 WLN851985:WLU851985 WVJ851985:WVQ851985 B917521:I917521 IX917521:JE917521 ST917521:TA917521 ACP917521:ACW917521 AML917521:AMS917521 AWH917521:AWO917521 BGD917521:BGK917521 BPZ917521:BQG917521 BZV917521:CAC917521 CJR917521:CJY917521 CTN917521:CTU917521 DDJ917521:DDQ917521 DNF917521:DNM917521 DXB917521:DXI917521 EGX917521:EHE917521 EQT917521:ERA917521 FAP917521:FAW917521 FKL917521:FKS917521 FUH917521:FUO917521 GED917521:GEK917521 GNZ917521:GOG917521 GXV917521:GYC917521 HHR917521:HHY917521 HRN917521:HRU917521 IBJ917521:IBQ917521 ILF917521:ILM917521 IVB917521:IVI917521 JEX917521:JFE917521 JOT917521:JPA917521 JYP917521:JYW917521 KIL917521:KIS917521 KSH917521:KSO917521 LCD917521:LCK917521 LLZ917521:LMG917521 LVV917521:LWC917521 MFR917521:MFY917521 MPN917521:MPU917521 MZJ917521:MZQ917521 NJF917521:NJM917521 NTB917521:NTI917521 OCX917521:ODE917521 OMT917521:ONA917521 OWP917521:OWW917521 PGL917521:PGS917521 PQH917521:PQO917521 QAD917521:QAK917521 QJZ917521:QKG917521 QTV917521:QUC917521 RDR917521:RDY917521 RNN917521:RNU917521 RXJ917521:RXQ917521 SHF917521:SHM917521 SRB917521:SRI917521 TAX917521:TBE917521 TKT917521:TLA917521 TUP917521:TUW917521 UEL917521:UES917521 UOH917521:UOO917521 UYD917521:UYK917521 VHZ917521:VIG917521 VRV917521:VSC917521 WBR917521:WBY917521 WLN917521:WLU917521 WVJ917521:WVQ917521 B983057:I983057 IX983057:JE983057 ST983057:TA983057 ACP983057:ACW983057 AML983057:AMS983057 AWH983057:AWO983057 BGD983057:BGK983057 BPZ983057:BQG983057 BZV983057:CAC983057 CJR983057:CJY983057 CTN983057:CTU983057 DDJ983057:DDQ983057 DNF983057:DNM983057 DXB983057:DXI983057 EGX983057:EHE983057 EQT983057:ERA983057 FAP983057:FAW983057 FKL983057:FKS983057 FUH983057:FUO983057 GED983057:GEK983057 GNZ983057:GOG983057 GXV983057:GYC983057 HHR983057:HHY983057 HRN983057:HRU983057 IBJ983057:IBQ983057 ILF983057:ILM983057 IVB983057:IVI983057 JEX983057:JFE983057 JOT983057:JPA983057 JYP983057:JYW983057 KIL983057:KIS983057 KSH983057:KSO983057 LCD983057:LCK983057 LLZ983057:LMG983057 LVV983057:LWC983057 MFR983057:MFY983057 MPN983057:MPU983057 MZJ983057:MZQ983057 NJF983057:NJM983057 NTB983057:NTI983057 OCX983057:ODE983057 OMT983057:ONA983057 OWP983057:OWW983057 PGL983057:PGS983057 PQH983057:PQO983057 QAD983057:QAK983057 QJZ983057:QKG983057 QTV983057:QUC983057 RDR983057:RDY983057 RNN983057:RNU983057 RXJ983057:RXQ983057 SHF983057:SHM983057 SRB983057:SRI983057 TAX983057:TBE983057 TKT983057:TLA983057 TUP983057:TUW983057 UEL983057:UES983057 UOH983057:UOO983057 UYD983057:UYK983057 VHZ983057:VIG983057 VRV983057:VSC983057 WBR983057:WBY983057 WLN983057:WLU983057 B17:C17 E17:I17" xr:uid="{00000000-0002-0000-0000-000002000000}">
      <formula1>NOT(ISERR(AND(FIND(".",B17),FIND("@",B17))))</formula1>
    </dataValidation>
    <dataValidation type="list" errorStyle="information" allowBlank="1" showInputMessage="1" showErrorMessage="1" errorTitle="New Site" error="If a site is not in the list enter a new Name" prompt="Select a site name or enter a new one" sqref="B54:V54 IX54:JR54 ST54:TN54 ACP54:ADJ54 AML54:ANF54 AWH54:AXB54 BGD54:BGX54 BPZ54:BQT54 BZV54:CAP54 CJR54:CKL54 CTN54:CUH54 DDJ54:DED54 DNF54:DNZ54 DXB54:DXV54 EGX54:EHR54 EQT54:ERN54 FAP54:FBJ54 FKL54:FLF54 FUH54:FVB54 GED54:GEX54 GNZ54:GOT54 GXV54:GYP54 HHR54:HIL54 HRN54:HSH54 IBJ54:ICD54 ILF54:ILZ54 IVB54:IVV54 JEX54:JFR54 JOT54:JPN54 JYP54:JZJ54 KIL54:KJF54 KSH54:KTB54 LCD54:LCX54 LLZ54:LMT54 LVV54:LWP54 MFR54:MGL54 MPN54:MQH54 MZJ54:NAD54 NJF54:NJZ54 NTB54:NTV54 OCX54:ODR54 OMT54:ONN54 OWP54:OXJ54 PGL54:PHF54 PQH54:PRB54 QAD54:QAX54 QJZ54:QKT54 QTV54:QUP54 RDR54:REL54 RNN54:ROH54 RXJ54:RYD54 SHF54:SHZ54 SRB54:SRV54 TAX54:TBR54 TKT54:TLN54 TUP54:TVJ54 UEL54:UFF54 UOH54:UPB54 UYD54:UYX54 VHZ54:VIT54 VRV54:VSP54 WBR54:WCL54 WLN54:WMH54 WVJ54:WWD54 B65590:V65590 IX65590:JR65590 ST65590:TN65590 ACP65590:ADJ65590 AML65590:ANF65590 AWH65590:AXB65590 BGD65590:BGX65590 BPZ65590:BQT65590 BZV65590:CAP65590 CJR65590:CKL65590 CTN65590:CUH65590 DDJ65590:DED65590 DNF65590:DNZ65590 DXB65590:DXV65590 EGX65590:EHR65590 EQT65590:ERN65590 FAP65590:FBJ65590 FKL65590:FLF65590 FUH65590:FVB65590 GED65590:GEX65590 GNZ65590:GOT65590 GXV65590:GYP65590 HHR65590:HIL65590 HRN65590:HSH65590 IBJ65590:ICD65590 ILF65590:ILZ65590 IVB65590:IVV65590 JEX65590:JFR65590 JOT65590:JPN65590 JYP65590:JZJ65590 KIL65590:KJF65590 KSH65590:KTB65590 LCD65590:LCX65590 LLZ65590:LMT65590 LVV65590:LWP65590 MFR65590:MGL65590 MPN65590:MQH65590 MZJ65590:NAD65590 NJF65590:NJZ65590 NTB65590:NTV65590 OCX65590:ODR65590 OMT65590:ONN65590 OWP65590:OXJ65590 PGL65590:PHF65590 PQH65590:PRB65590 QAD65590:QAX65590 QJZ65590:QKT65590 QTV65590:QUP65590 RDR65590:REL65590 RNN65590:ROH65590 RXJ65590:RYD65590 SHF65590:SHZ65590 SRB65590:SRV65590 TAX65590:TBR65590 TKT65590:TLN65590 TUP65590:TVJ65590 UEL65590:UFF65590 UOH65590:UPB65590 UYD65590:UYX65590 VHZ65590:VIT65590 VRV65590:VSP65590 WBR65590:WCL65590 WLN65590:WMH65590 WVJ65590:WWD65590 B131126:V131126 IX131126:JR131126 ST131126:TN131126 ACP131126:ADJ131126 AML131126:ANF131126 AWH131126:AXB131126 BGD131126:BGX131126 BPZ131126:BQT131126 BZV131126:CAP131126 CJR131126:CKL131126 CTN131126:CUH131126 DDJ131126:DED131126 DNF131126:DNZ131126 DXB131126:DXV131126 EGX131126:EHR131126 EQT131126:ERN131126 FAP131126:FBJ131126 FKL131126:FLF131126 FUH131126:FVB131126 GED131126:GEX131126 GNZ131126:GOT131126 GXV131126:GYP131126 HHR131126:HIL131126 HRN131126:HSH131126 IBJ131126:ICD131126 ILF131126:ILZ131126 IVB131126:IVV131126 JEX131126:JFR131126 JOT131126:JPN131126 JYP131126:JZJ131126 KIL131126:KJF131126 KSH131126:KTB131126 LCD131126:LCX131126 LLZ131126:LMT131126 LVV131126:LWP131126 MFR131126:MGL131126 MPN131126:MQH131126 MZJ131126:NAD131126 NJF131126:NJZ131126 NTB131126:NTV131126 OCX131126:ODR131126 OMT131126:ONN131126 OWP131126:OXJ131126 PGL131126:PHF131126 PQH131126:PRB131126 QAD131126:QAX131126 QJZ131126:QKT131126 QTV131126:QUP131126 RDR131126:REL131126 RNN131126:ROH131126 RXJ131126:RYD131126 SHF131126:SHZ131126 SRB131126:SRV131126 TAX131126:TBR131126 TKT131126:TLN131126 TUP131126:TVJ131126 UEL131126:UFF131126 UOH131126:UPB131126 UYD131126:UYX131126 VHZ131126:VIT131126 VRV131126:VSP131126 WBR131126:WCL131126 WLN131126:WMH131126 WVJ131126:WWD131126 B196662:V196662 IX196662:JR196662 ST196662:TN196662 ACP196662:ADJ196662 AML196662:ANF196662 AWH196662:AXB196662 BGD196662:BGX196662 BPZ196662:BQT196662 BZV196662:CAP196662 CJR196662:CKL196662 CTN196662:CUH196662 DDJ196662:DED196662 DNF196662:DNZ196662 DXB196662:DXV196662 EGX196662:EHR196662 EQT196662:ERN196662 FAP196662:FBJ196662 FKL196662:FLF196662 FUH196662:FVB196662 GED196662:GEX196662 GNZ196662:GOT196662 GXV196662:GYP196662 HHR196662:HIL196662 HRN196662:HSH196662 IBJ196662:ICD196662 ILF196662:ILZ196662 IVB196662:IVV196662 JEX196662:JFR196662 JOT196662:JPN196662 JYP196662:JZJ196662 KIL196662:KJF196662 KSH196662:KTB196662 LCD196662:LCX196662 LLZ196662:LMT196662 LVV196662:LWP196662 MFR196662:MGL196662 MPN196662:MQH196662 MZJ196662:NAD196662 NJF196662:NJZ196662 NTB196662:NTV196662 OCX196662:ODR196662 OMT196662:ONN196662 OWP196662:OXJ196662 PGL196662:PHF196662 PQH196662:PRB196662 QAD196662:QAX196662 QJZ196662:QKT196662 QTV196662:QUP196662 RDR196662:REL196662 RNN196662:ROH196662 RXJ196662:RYD196662 SHF196662:SHZ196662 SRB196662:SRV196662 TAX196662:TBR196662 TKT196662:TLN196662 TUP196662:TVJ196662 UEL196662:UFF196662 UOH196662:UPB196662 UYD196662:UYX196662 VHZ196662:VIT196662 VRV196662:VSP196662 WBR196662:WCL196662 WLN196662:WMH196662 WVJ196662:WWD196662 B262198:V262198 IX262198:JR262198 ST262198:TN262198 ACP262198:ADJ262198 AML262198:ANF262198 AWH262198:AXB262198 BGD262198:BGX262198 BPZ262198:BQT262198 BZV262198:CAP262198 CJR262198:CKL262198 CTN262198:CUH262198 DDJ262198:DED262198 DNF262198:DNZ262198 DXB262198:DXV262198 EGX262198:EHR262198 EQT262198:ERN262198 FAP262198:FBJ262198 FKL262198:FLF262198 FUH262198:FVB262198 GED262198:GEX262198 GNZ262198:GOT262198 GXV262198:GYP262198 HHR262198:HIL262198 HRN262198:HSH262198 IBJ262198:ICD262198 ILF262198:ILZ262198 IVB262198:IVV262198 JEX262198:JFR262198 JOT262198:JPN262198 JYP262198:JZJ262198 KIL262198:KJF262198 KSH262198:KTB262198 LCD262198:LCX262198 LLZ262198:LMT262198 LVV262198:LWP262198 MFR262198:MGL262198 MPN262198:MQH262198 MZJ262198:NAD262198 NJF262198:NJZ262198 NTB262198:NTV262198 OCX262198:ODR262198 OMT262198:ONN262198 OWP262198:OXJ262198 PGL262198:PHF262198 PQH262198:PRB262198 QAD262198:QAX262198 QJZ262198:QKT262198 QTV262198:QUP262198 RDR262198:REL262198 RNN262198:ROH262198 RXJ262198:RYD262198 SHF262198:SHZ262198 SRB262198:SRV262198 TAX262198:TBR262198 TKT262198:TLN262198 TUP262198:TVJ262198 UEL262198:UFF262198 UOH262198:UPB262198 UYD262198:UYX262198 VHZ262198:VIT262198 VRV262198:VSP262198 WBR262198:WCL262198 WLN262198:WMH262198 WVJ262198:WWD262198 B327734:V327734 IX327734:JR327734 ST327734:TN327734 ACP327734:ADJ327734 AML327734:ANF327734 AWH327734:AXB327734 BGD327734:BGX327734 BPZ327734:BQT327734 BZV327734:CAP327734 CJR327734:CKL327734 CTN327734:CUH327734 DDJ327734:DED327734 DNF327734:DNZ327734 DXB327734:DXV327734 EGX327734:EHR327734 EQT327734:ERN327734 FAP327734:FBJ327734 FKL327734:FLF327734 FUH327734:FVB327734 GED327734:GEX327734 GNZ327734:GOT327734 GXV327734:GYP327734 HHR327734:HIL327734 HRN327734:HSH327734 IBJ327734:ICD327734 ILF327734:ILZ327734 IVB327734:IVV327734 JEX327734:JFR327734 JOT327734:JPN327734 JYP327734:JZJ327734 KIL327734:KJF327734 KSH327734:KTB327734 LCD327734:LCX327734 LLZ327734:LMT327734 LVV327734:LWP327734 MFR327734:MGL327734 MPN327734:MQH327734 MZJ327734:NAD327734 NJF327734:NJZ327734 NTB327734:NTV327734 OCX327734:ODR327734 OMT327734:ONN327734 OWP327734:OXJ327734 PGL327734:PHF327734 PQH327734:PRB327734 QAD327734:QAX327734 QJZ327734:QKT327734 QTV327734:QUP327734 RDR327734:REL327734 RNN327734:ROH327734 RXJ327734:RYD327734 SHF327734:SHZ327734 SRB327734:SRV327734 TAX327734:TBR327734 TKT327734:TLN327734 TUP327734:TVJ327734 UEL327734:UFF327734 UOH327734:UPB327734 UYD327734:UYX327734 VHZ327734:VIT327734 VRV327734:VSP327734 WBR327734:WCL327734 WLN327734:WMH327734 WVJ327734:WWD327734 B393270:V393270 IX393270:JR393270 ST393270:TN393270 ACP393270:ADJ393270 AML393270:ANF393270 AWH393270:AXB393270 BGD393270:BGX393270 BPZ393270:BQT393270 BZV393270:CAP393270 CJR393270:CKL393270 CTN393270:CUH393270 DDJ393270:DED393270 DNF393270:DNZ393270 DXB393270:DXV393270 EGX393270:EHR393270 EQT393270:ERN393270 FAP393270:FBJ393270 FKL393270:FLF393270 FUH393270:FVB393270 GED393270:GEX393270 GNZ393270:GOT393270 GXV393270:GYP393270 HHR393270:HIL393270 HRN393270:HSH393270 IBJ393270:ICD393270 ILF393270:ILZ393270 IVB393270:IVV393270 JEX393270:JFR393270 JOT393270:JPN393270 JYP393270:JZJ393270 KIL393270:KJF393270 KSH393270:KTB393270 LCD393270:LCX393270 LLZ393270:LMT393270 LVV393270:LWP393270 MFR393270:MGL393270 MPN393270:MQH393270 MZJ393270:NAD393270 NJF393270:NJZ393270 NTB393270:NTV393270 OCX393270:ODR393270 OMT393270:ONN393270 OWP393270:OXJ393270 PGL393270:PHF393270 PQH393270:PRB393270 QAD393270:QAX393270 QJZ393270:QKT393270 QTV393270:QUP393270 RDR393270:REL393270 RNN393270:ROH393270 RXJ393270:RYD393270 SHF393270:SHZ393270 SRB393270:SRV393270 TAX393270:TBR393270 TKT393270:TLN393270 TUP393270:TVJ393270 UEL393270:UFF393270 UOH393270:UPB393270 UYD393270:UYX393270 VHZ393270:VIT393270 VRV393270:VSP393270 WBR393270:WCL393270 WLN393270:WMH393270 WVJ393270:WWD393270 B458806:V458806 IX458806:JR458806 ST458806:TN458806 ACP458806:ADJ458806 AML458806:ANF458806 AWH458806:AXB458806 BGD458806:BGX458806 BPZ458806:BQT458806 BZV458806:CAP458806 CJR458806:CKL458806 CTN458806:CUH458806 DDJ458806:DED458806 DNF458806:DNZ458806 DXB458806:DXV458806 EGX458806:EHR458806 EQT458806:ERN458806 FAP458806:FBJ458806 FKL458806:FLF458806 FUH458806:FVB458806 GED458806:GEX458806 GNZ458806:GOT458806 GXV458806:GYP458806 HHR458806:HIL458806 HRN458806:HSH458806 IBJ458806:ICD458806 ILF458806:ILZ458806 IVB458806:IVV458806 JEX458806:JFR458806 JOT458806:JPN458806 JYP458806:JZJ458806 KIL458806:KJF458806 KSH458806:KTB458806 LCD458806:LCX458806 LLZ458806:LMT458806 LVV458806:LWP458806 MFR458806:MGL458806 MPN458806:MQH458806 MZJ458806:NAD458806 NJF458806:NJZ458806 NTB458806:NTV458806 OCX458806:ODR458806 OMT458806:ONN458806 OWP458806:OXJ458806 PGL458806:PHF458806 PQH458806:PRB458806 QAD458806:QAX458806 QJZ458806:QKT458806 QTV458806:QUP458806 RDR458806:REL458806 RNN458806:ROH458806 RXJ458806:RYD458806 SHF458806:SHZ458806 SRB458806:SRV458806 TAX458806:TBR458806 TKT458806:TLN458806 TUP458806:TVJ458806 UEL458806:UFF458806 UOH458806:UPB458806 UYD458806:UYX458806 VHZ458806:VIT458806 VRV458806:VSP458806 WBR458806:WCL458806 WLN458806:WMH458806 WVJ458806:WWD458806 B524342:V524342 IX524342:JR524342 ST524342:TN524342 ACP524342:ADJ524342 AML524342:ANF524342 AWH524342:AXB524342 BGD524342:BGX524342 BPZ524342:BQT524342 BZV524342:CAP524342 CJR524342:CKL524342 CTN524342:CUH524342 DDJ524342:DED524342 DNF524342:DNZ524342 DXB524342:DXV524342 EGX524342:EHR524342 EQT524342:ERN524342 FAP524342:FBJ524342 FKL524342:FLF524342 FUH524342:FVB524342 GED524342:GEX524342 GNZ524342:GOT524342 GXV524342:GYP524342 HHR524342:HIL524342 HRN524342:HSH524342 IBJ524342:ICD524342 ILF524342:ILZ524342 IVB524342:IVV524342 JEX524342:JFR524342 JOT524342:JPN524342 JYP524342:JZJ524342 KIL524342:KJF524342 KSH524342:KTB524342 LCD524342:LCX524342 LLZ524342:LMT524342 LVV524342:LWP524342 MFR524342:MGL524342 MPN524342:MQH524342 MZJ524342:NAD524342 NJF524342:NJZ524342 NTB524342:NTV524342 OCX524342:ODR524342 OMT524342:ONN524342 OWP524342:OXJ524342 PGL524342:PHF524342 PQH524342:PRB524342 QAD524342:QAX524342 QJZ524342:QKT524342 QTV524342:QUP524342 RDR524342:REL524342 RNN524342:ROH524342 RXJ524342:RYD524342 SHF524342:SHZ524342 SRB524342:SRV524342 TAX524342:TBR524342 TKT524342:TLN524342 TUP524342:TVJ524342 UEL524342:UFF524342 UOH524342:UPB524342 UYD524342:UYX524342 VHZ524342:VIT524342 VRV524342:VSP524342 WBR524342:WCL524342 WLN524342:WMH524342 WVJ524342:WWD524342 B589878:V589878 IX589878:JR589878 ST589878:TN589878 ACP589878:ADJ589878 AML589878:ANF589878 AWH589878:AXB589878 BGD589878:BGX589878 BPZ589878:BQT589878 BZV589878:CAP589878 CJR589878:CKL589878 CTN589878:CUH589878 DDJ589878:DED589878 DNF589878:DNZ589878 DXB589878:DXV589878 EGX589878:EHR589878 EQT589878:ERN589878 FAP589878:FBJ589878 FKL589878:FLF589878 FUH589878:FVB589878 GED589878:GEX589878 GNZ589878:GOT589878 GXV589878:GYP589878 HHR589878:HIL589878 HRN589878:HSH589878 IBJ589878:ICD589878 ILF589878:ILZ589878 IVB589878:IVV589878 JEX589878:JFR589878 JOT589878:JPN589878 JYP589878:JZJ589878 KIL589878:KJF589878 KSH589878:KTB589878 LCD589878:LCX589878 LLZ589878:LMT589878 LVV589878:LWP589878 MFR589878:MGL589878 MPN589878:MQH589878 MZJ589878:NAD589878 NJF589878:NJZ589878 NTB589878:NTV589878 OCX589878:ODR589878 OMT589878:ONN589878 OWP589878:OXJ589878 PGL589878:PHF589878 PQH589878:PRB589878 QAD589878:QAX589878 QJZ589878:QKT589878 QTV589878:QUP589878 RDR589878:REL589878 RNN589878:ROH589878 RXJ589878:RYD589878 SHF589878:SHZ589878 SRB589878:SRV589878 TAX589878:TBR589878 TKT589878:TLN589878 TUP589878:TVJ589878 UEL589878:UFF589878 UOH589878:UPB589878 UYD589878:UYX589878 VHZ589878:VIT589878 VRV589878:VSP589878 WBR589878:WCL589878 WLN589878:WMH589878 WVJ589878:WWD589878 B655414:V655414 IX655414:JR655414 ST655414:TN655414 ACP655414:ADJ655414 AML655414:ANF655414 AWH655414:AXB655414 BGD655414:BGX655414 BPZ655414:BQT655414 BZV655414:CAP655414 CJR655414:CKL655414 CTN655414:CUH655414 DDJ655414:DED655414 DNF655414:DNZ655414 DXB655414:DXV655414 EGX655414:EHR655414 EQT655414:ERN655414 FAP655414:FBJ655414 FKL655414:FLF655414 FUH655414:FVB655414 GED655414:GEX655414 GNZ655414:GOT655414 GXV655414:GYP655414 HHR655414:HIL655414 HRN655414:HSH655414 IBJ655414:ICD655414 ILF655414:ILZ655414 IVB655414:IVV655414 JEX655414:JFR655414 JOT655414:JPN655414 JYP655414:JZJ655414 KIL655414:KJF655414 KSH655414:KTB655414 LCD655414:LCX655414 LLZ655414:LMT655414 LVV655414:LWP655414 MFR655414:MGL655414 MPN655414:MQH655414 MZJ655414:NAD655414 NJF655414:NJZ655414 NTB655414:NTV655414 OCX655414:ODR655414 OMT655414:ONN655414 OWP655414:OXJ655414 PGL655414:PHF655414 PQH655414:PRB655414 QAD655414:QAX655414 QJZ655414:QKT655414 QTV655414:QUP655414 RDR655414:REL655414 RNN655414:ROH655414 RXJ655414:RYD655414 SHF655414:SHZ655414 SRB655414:SRV655414 TAX655414:TBR655414 TKT655414:TLN655414 TUP655414:TVJ655414 UEL655414:UFF655414 UOH655414:UPB655414 UYD655414:UYX655414 VHZ655414:VIT655414 VRV655414:VSP655414 WBR655414:WCL655414 WLN655414:WMH655414 WVJ655414:WWD655414 B720950:V720950 IX720950:JR720950 ST720950:TN720950 ACP720950:ADJ720950 AML720950:ANF720950 AWH720950:AXB720950 BGD720950:BGX720950 BPZ720950:BQT720950 BZV720950:CAP720950 CJR720950:CKL720950 CTN720950:CUH720950 DDJ720950:DED720950 DNF720950:DNZ720950 DXB720950:DXV720950 EGX720950:EHR720950 EQT720950:ERN720950 FAP720950:FBJ720950 FKL720950:FLF720950 FUH720950:FVB720950 GED720950:GEX720950 GNZ720950:GOT720950 GXV720950:GYP720950 HHR720950:HIL720950 HRN720950:HSH720950 IBJ720950:ICD720950 ILF720950:ILZ720950 IVB720950:IVV720950 JEX720950:JFR720950 JOT720950:JPN720950 JYP720950:JZJ720950 KIL720950:KJF720950 KSH720950:KTB720950 LCD720950:LCX720950 LLZ720950:LMT720950 LVV720950:LWP720950 MFR720950:MGL720950 MPN720950:MQH720950 MZJ720950:NAD720950 NJF720950:NJZ720950 NTB720950:NTV720950 OCX720950:ODR720950 OMT720950:ONN720950 OWP720950:OXJ720950 PGL720950:PHF720950 PQH720950:PRB720950 QAD720950:QAX720950 QJZ720950:QKT720950 QTV720950:QUP720950 RDR720950:REL720950 RNN720950:ROH720950 RXJ720950:RYD720950 SHF720950:SHZ720950 SRB720950:SRV720950 TAX720950:TBR720950 TKT720950:TLN720950 TUP720950:TVJ720950 UEL720950:UFF720950 UOH720950:UPB720950 UYD720950:UYX720950 VHZ720950:VIT720950 VRV720950:VSP720950 WBR720950:WCL720950 WLN720950:WMH720950 WVJ720950:WWD720950 B786486:V786486 IX786486:JR786486 ST786486:TN786486 ACP786486:ADJ786486 AML786486:ANF786486 AWH786486:AXB786486 BGD786486:BGX786486 BPZ786486:BQT786486 BZV786486:CAP786486 CJR786486:CKL786486 CTN786486:CUH786486 DDJ786486:DED786486 DNF786486:DNZ786486 DXB786486:DXV786486 EGX786486:EHR786486 EQT786486:ERN786486 FAP786486:FBJ786486 FKL786486:FLF786486 FUH786486:FVB786486 GED786486:GEX786486 GNZ786486:GOT786486 GXV786486:GYP786486 HHR786486:HIL786486 HRN786486:HSH786486 IBJ786486:ICD786486 ILF786486:ILZ786486 IVB786486:IVV786486 JEX786486:JFR786486 JOT786486:JPN786486 JYP786486:JZJ786486 KIL786486:KJF786486 KSH786486:KTB786486 LCD786486:LCX786486 LLZ786486:LMT786486 LVV786486:LWP786486 MFR786486:MGL786486 MPN786486:MQH786486 MZJ786486:NAD786486 NJF786486:NJZ786486 NTB786486:NTV786486 OCX786486:ODR786486 OMT786486:ONN786486 OWP786486:OXJ786486 PGL786486:PHF786486 PQH786486:PRB786486 QAD786486:QAX786486 QJZ786486:QKT786486 QTV786486:QUP786486 RDR786486:REL786486 RNN786486:ROH786486 RXJ786486:RYD786486 SHF786486:SHZ786486 SRB786486:SRV786486 TAX786486:TBR786486 TKT786486:TLN786486 TUP786486:TVJ786486 UEL786486:UFF786486 UOH786486:UPB786486 UYD786486:UYX786486 VHZ786486:VIT786486 VRV786486:VSP786486 WBR786486:WCL786486 WLN786486:WMH786486 WVJ786486:WWD786486 B852022:V852022 IX852022:JR852022 ST852022:TN852022 ACP852022:ADJ852022 AML852022:ANF852022 AWH852022:AXB852022 BGD852022:BGX852022 BPZ852022:BQT852022 BZV852022:CAP852022 CJR852022:CKL852022 CTN852022:CUH852022 DDJ852022:DED852022 DNF852022:DNZ852022 DXB852022:DXV852022 EGX852022:EHR852022 EQT852022:ERN852022 FAP852022:FBJ852022 FKL852022:FLF852022 FUH852022:FVB852022 GED852022:GEX852022 GNZ852022:GOT852022 GXV852022:GYP852022 HHR852022:HIL852022 HRN852022:HSH852022 IBJ852022:ICD852022 ILF852022:ILZ852022 IVB852022:IVV852022 JEX852022:JFR852022 JOT852022:JPN852022 JYP852022:JZJ852022 KIL852022:KJF852022 KSH852022:KTB852022 LCD852022:LCX852022 LLZ852022:LMT852022 LVV852022:LWP852022 MFR852022:MGL852022 MPN852022:MQH852022 MZJ852022:NAD852022 NJF852022:NJZ852022 NTB852022:NTV852022 OCX852022:ODR852022 OMT852022:ONN852022 OWP852022:OXJ852022 PGL852022:PHF852022 PQH852022:PRB852022 QAD852022:QAX852022 QJZ852022:QKT852022 QTV852022:QUP852022 RDR852022:REL852022 RNN852022:ROH852022 RXJ852022:RYD852022 SHF852022:SHZ852022 SRB852022:SRV852022 TAX852022:TBR852022 TKT852022:TLN852022 TUP852022:TVJ852022 UEL852022:UFF852022 UOH852022:UPB852022 UYD852022:UYX852022 VHZ852022:VIT852022 VRV852022:VSP852022 WBR852022:WCL852022 WLN852022:WMH852022 WVJ852022:WWD852022 B917558:V917558 IX917558:JR917558 ST917558:TN917558 ACP917558:ADJ917558 AML917558:ANF917558 AWH917558:AXB917558 BGD917558:BGX917558 BPZ917558:BQT917558 BZV917558:CAP917558 CJR917558:CKL917558 CTN917558:CUH917558 DDJ917558:DED917558 DNF917558:DNZ917558 DXB917558:DXV917558 EGX917558:EHR917558 EQT917558:ERN917558 FAP917558:FBJ917558 FKL917558:FLF917558 FUH917558:FVB917558 GED917558:GEX917558 GNZ917558:GOT917558 GXV917558:GYP917558 HHR917558:HIL917558 HRN917558:HSH917558 IBJ917558:ICD917558 ILF917558:ILZ917558 IVB917558:IVV917558 JEX917558:JFR917558 JOT917558:JPN917558 JYP917558:JZJ917558 KIL917558:KJF917558 KSH917558:KTB917558 LCD917558:LCX917558 LLZ917558:LMT917558 LVV917558:LWP917558 MFR917558:MGL917558 MPN917558:MQH917558 MZJ917558:NAD917558 NJF917558:NJZ917558 NTB917558:NTV917558 OCX917558:ODR917558 OMT917558:ONN917558 OWP917558:OXJ917558 PGL917558:PHF917558 PQH917558:PRB917558 QAD917558:QAX917558 QJZ917558:QKT917558 QTV917558:QUP917558 RDR917558:REL917558 RNN917558:ROH917558 RXJ917558:RYD917558 SHF917558:SHZ917558 SRB917558:SRV917558 TAX917558:TBR917558 TKT917558:TLN917558 TUP917558:TVJ917558 UEL917558:UFF917558 UOH917558:UPB917558 UYD917558:UYX917558 VHZ917558:VIT917558 VRV917558:VSP917558 WBR917558:WCL917558 WLN917558:WMH917558 WVJ917558:WWD917558 B983094:V983094 IX983094:JR983094 ST983094:TN983094 ACP983094:ADJ983094 AML983094:ANF983094 AWH983094:AXB983094 BGD983094:BGX983094 BPZ983094:BQT983094 BZV983094:CAP983094 CJR983094:CKL983094 CTN983094:CUH983094 DDJ983094:DED983094 DNF983094:DNZ983094 DXB983094:DXV983094 EGX983094:EHR983094 EQT983094:ERN983094 FAP983094:FBJ983094 FKL983094:FLF983094 FUH983094:FVB983094 GED983094:GEX983094 GNZ983094:GOT983094 GXV983094:GYP983094 HHR983094:HIL983094 HRN983094:HSH983094 IBJ983094:ICD983094 ILF983094:ILZ983094 IVB983094:IVV983094 JEX983094:JFR983094 JOT983094:JPN983094 JYP983094:JZJ983094 KIL983094:KJF983094 KSH983094:KTB983094 LCD983094:LCX983094 LLZ983094:LMT983094 LVV983094:LWP983094 MFR983094:MGL983094 MPN983094:MQH983094 MZJ983094:NAD983094 NJF983094:NJZ983094 NTB983094:NTV983094 OCX983094:ODR983094 OMT983094:ONN983094 OWP983094:OXJ983094 PGL983094:PHF983094 PQH983094:PRB983094 QAD983094:QAX983094 QJZ983094:QKT983094 QTV983094:QUP983094 RDR983094:REL983094 RNN983094:ROH983094 RXJ983094:RYD983094 SHF983094:SHZ983094 SRB983094:SRV983094 TAX983094:TBR983094 TKT983094:TLN983094 TUP983094:TVJ983094 UEL983094:UFF983094 UOH983094:UPB983094 UYD983094:UYX983094 VHZ983094:VIT983094 VRV983094:VSP983094 WBR983094:WCL983094 WLN983094:WMH983094 WVJ983094:WWD983094" xr:uid="{00000000-0002-0000-0000-000003000000}">
      <formula1>Site_name_list</formula1>
    </dataValidation>
    <dataValidation type="list" errorStyle="warning" allowBlank="1" showInputMessage="1" showErrorMessage="1" error="If unit is not in the list, enter it in a similar style" promptTitle="Unit" prompt="For a Number Data Type please select from list.  If it is not in the list then enter it using a format similar to other units in the list." sqref="D130:D341 IZ130:IZ341 SV130:SV341 ACR130:ACR341 AMN130:AMN341 AWJ130:AWJ341 BGF130:BGF341 BQB130:BQB341 BZX130:BZX341 CJT130:CJT341 CTP130:CTP341 DDL130:DDL341 DNH130:DNH341 DXD130:DXD341 EGZ130:EGZ341 EQV130:EQV341 FAR130:FAR341 FKN130:FKN341 FUJ130:FUJ341 GEF130:GEF341 GOB130:GOB341 GXX130:GXX341 HHT130:HHT341 HRP130:HRP341 IBL130:IBL341 ILH130:ILH341 IVD130:IVD341 JEZ130:JEZ341 JOV130:JOV341 JYR130:JYR341 KIN130:KIN341 KSJ130:KSJ341 LCF130:LCF341 LMB130:LMB341 LVX130:LVX341 MFT130:MFT341 MPP130:MPP341 MZL130:MZL341 NJH130:NJH341 NTD130:NTD341 OCZ130:OCZ341 OMV130:OMV341 OWR130:OWR341 PGN130:PGN341 PQJ130:PQJ341 QAF130:QAF341 QKB130:QKB341 QTX130:QTX341 RDT130:RDT341 RNP130:RNP341 RXL130:RXL341 SHH130:SHH341 SRD130:SRD341 TAZ130:TAZ341 TKV130:TKV341 TUR130:TUR341 UEN130:UEN341 UOJ130:UOJ341 UYF130:UYF341 VIB130:VIB341 VRX130:VRX341 WBT130:WBT341 WLP130:WLP341 WVL130:WVL341 D65666:D65877 IZ65666:IZ65877 SV65666:SV65877 ACR65666:ACR65877 AMN65666:AMN65877 AWJ65666:AWJ65877 BGF65666:BGF65877 BQB65666:BQB65877 BZX65666:BZX65877 CJT65666:CJT65877 CTP65666:CTP65877 DDL65666:DDL65877 DNH65666:DNH65877 DXD65666:DXD65877 EGZ65666:EGZ65877 EQV65666:EQV65877 FAR65666:FAR65877 FKN65666:FKN65877 FUJ65666:FUJ65877 GEF65666:GEF65877 GOB65666:GOB65877 GXX65666:GXX65877 HHT65666:HHT65877 HRP65666:HRP65877 IBL65666:IBL65877 ILH65666:ILH65877 IVD65666:IVD65877 JEZ65666:JEZ65877 JOV65666:JOV65877 JYR65666:JYR65877 KIN65666:KIN65877 KSJ65666:KSJ65877 LCF65666:LCF65877 LMB65666:LMB65877 LVX65666:LVX65877 MFT65666:MFT65877 MPP65666:MPP65877 MZL65666:MZL65877 NJH65666:NJH65877 NTD65666:NTD65877 OCZ65666:OCZ65877 OMV65666:OMV65877 OWR65666:OWR65877 PGN65666:PGN65877 PQJ65666:PQJ65877 QAF65666:QAF65877 QKB65666:QKB65877 QTX65666:QTX65877 RDT65666:RDT65877 RNP65666:RNP65877 RXL65666:RXL65877 SHH65666:SHH65877 SRD65666:SRD65877 TAZ65666:TAZ65877 TKV65666:TKV65877 TUR65666:TUR65877 UEN65666:UEN65877 UOJ65666:UOJ65877 UYF65666:UYF65877 VIB65666:VIB65877 VRX65666:VRX65877 WBT65666:WBT65877 WLP65666:WLP65877 WVL65666:WVL65877 D131202:D131413 IZ131202:IZ131413 SV131202:SV131413 ACR131202:ACR131413 AMN131202:AMN131413 AWJ131202:AWJ131413 BGF131202:BGF131413 BQB131202:BQB131413 BZX131202:BZX131413 CJT131202:CJT131413 CTP131202:CTP131413 DDL131202:DDL131413 DNH131202:DNH131413 DXD131202:DXD131413 EGZ131202:EGZ131413 EQV131202:EQV131413 FAR131202:FAR131413 FKN131202:FKN131413 FUJ131202:FUJ131413 GEF131202:GEF131413 GOB131202:GOB131413 GXX131202:GXX131413 HHT131202:HHT131413 HRP131202:HRP131413 IBL131202:IBL131413 ILH131202:ILH131413 IVD131202:IVD131413 JEZ131202:JEZ131413 JOV131202:JOV131413 JYR131202:JYR131413 KIN131202:KIN131413 KSJ131202:KSJ131413 LCF131202:LCF131413 LMB131202:LMB131413 LVX131202:LVX131413 MFT131202:MFT131413 MPP131202:MPP131413 MZL131202:MZL131413 NJH131202:NJH131413 NTD131202:NTD131413 OCZ131202:OCZ131413 OMV131202:OMV131413 OWR131202:OWR131413 PGN131202:PGN131413 PQJ131202:PQJ131413 QAF131202:QAF131413 QKB131202:QKB131413 QTX131202:QTX131413 RDT131202:RDT131413 RNP131202:RNP131413 RXL131202:RXL131413 SHH131202:SHH131413 SRD131202:SRD131413 TAZ131202:TAZ131413 TKV131202:TKV131413 TUR131202:TUR131413 UEN131202:UEN131413 UOJ131202:UOJ131413 UYF131202:UYF131413 VIB131202:VIB131413 VRX131202:VRX131413 WBT131202:WBT131413 WLP131202:WLP131413 WVL131202:WVL131413 D196738:D196949 IZ196738:IZ196949 SV196738:SV196949 ACR196738:ACR196949 AMN196738:AMN196949 AWJ196738:AWJ196949 BGF196738:BGF196949 BQB196738:BQB196949 BZX196738:BZX196949 CJT196738:CJT196949 CTP196738:CTP196949 DDL196738:DDL196949 DNH196738:DNH196949 DXD196738:DXD196949 EGZ196738:EGZ196949 EQV196738:EQV196949 FAR196738:FAR196949 FKN196738:FKN196949 FUJ196738:FUJ196949 GEF196738:GEF196949 GOB196738:GOB196949 GXX196738:GXX196949 HHT196738:HHT196949 HRP196738:HRP196949 IBL196738:IBL196949 ILH196738:ILH196949 IVD196738:IVD196949 JEZ196738:JEZ196949 JOV196738:JOV196949 JYR196738:JYR196949 KIN196738:KIN196949 KSJ196738:KSJ196949 LCF196738:LCF196949 LMB196738:LMB196949 LVX196738:LVX196949 MFT196738:MFT196949 MPP196738:MPP196949 MZL196738:MZL196949 NJH196738:NJH196949 NTD196738:NTD196949 OCZ196738:OCZ196949 OMV196738:OMV196949 OWR196738:OWR196949 PGN196738:PGN196949 PQJ196738:PQJ196949 QAF196738:QAF196949 QKB196738:QKB196949 QTX196738:QTX196949 RDT196738:RDT196949 RNP196738:RNP196949 RXL196738:RXL196949 SHH196738:SHH196949 SRD196738:SRD196949 TAZ196738:TAZ196949 TKV196738:TKV196949 TUR196738:TUR196949 UEN196738:UEN196949 UOJ196738:UOJ196949 UYF196738:UYF196949 VIB196738:VIB196949 VRX196738:VRX196949 WBT196738:WBT196949 WLP196738:WLP196949 WVL196738:WVL196949 D262274:D262485 IZ262274:IZ262485 SV262274:SV262485 ACR262274:ACR262485 AMN262274:AMN262485 AWJ262274:AWJ262485 BGF262274:BGF262485 BQB262274:BQB262485 BZX262274:BZX262485 CJT262274:CJT262485 CTP262274:CTP262485 DDL262274:DDL262485 DNH262274:DNH262485 DXD262274:DXD262485 EGZ262274:EGZ262485 EQV262274:EQV262485 FAR262274:FAR262485 FKN262274:FKN262485 FUJ262274:FUJ262485 GEF262274:GEF262485 GOB262274:GOB262485 GXX262274:GXX262485 HHT262274:HHT262485 HRP262274:HRP262485 IBL262274:IBL262485 ILH262274:ILH262485 IVD262274:IVD262485 JEZ262274:JEZ262485 JOV262274:JOV262485 JYR262274:JYR262485 KIN262274:KIN262485 KSJ262274:KSJ262485 LCF262274:LCF262485 LMB262274:LMB262485 LVX262274:LVX262485 MFT262274:MFT262485 MPP262274:MPP262485 MZL262274:MZL262485 NJH262274:NJH262485 NTD262274:NTD262485 OCZ262274:OCZ262485 OMV262274:OMV262485 OWR262274:OWR262485 PGN262274:PGN262485 PQJ262274:PQJ262485 QAF262274:QAF262485 QKB262274:QKB262485 QTX262274:QTX262485 RDT262274:RDT262485 RNP262274:RNP262485 RXL262274:RXL262485 SHH262274:SHH262485 SRD262274:SRD262485 TAZ262274:TAZ262485 TKV262274:TKV262485 TUR262274:TUR262485 UEN262274:UEN262485 UOJ262274:UOJ262485 UYF262274:UYF262485 VIB262274:VIB262485 VRX262274:VRX262485 WBT262274:WBT262485 WLP262274:WLP262485 WVL262274:WVL262485 D327810:D328021 IZ327810:IZ328021 SV327810:SV328021 ACR327810:ACR328021 AMN327810:AMN328021 AWJ327810:AWJ328021 BGF327810:BGF328021 BQB327810:BQB328021 BZX327810:BZX328021 CJT327810:CJT328021 CTP327810:CTP328021 DDL327810:DDL328021 DNH327810:DNH328021 DXD327810:DXD328021 EGZ327810:EGZ328021 EQV327810:EQV328021 FAR327810:FAR328021 FKN327810:FKN328021 FUJ327810:FUJ328021 GEF327810:GEF328021 GOB327810:GOB328021 GXX327810:GXX328021 HHT327810:HHT328021 HRP327810:HRP328021 IBL327810:IBL328021 ILH327810:ILH328021 IVD327810:IVD328021 JEZ327810:JEZ328021 JOV327810:JOV328021 JYR327810:JYR328021 KIN327810:KIN328021 KSJ327810:KSJ328021 LCF327810:LCF328021 LMB327810:LMB328021 LVX327810:LVX328021 MFT327810:MFT328021 MPP327810:MPP328021 MZL327810:MZL328021 NJH327810:NJH328021 NTD327810:NTD328021 OCZ327810:OCZ328021 OMV327810:OMV328021 OWR327810:OWR328021 PGN327810:PGN328021 PQJ327810:PQJ328021 QAF327810:QAF328021 QKB327810:QKB328021 QTX327810:QTX328021 RDT327810:RDT328021 RNP327810:RNP328021 RXL327810:RXL328021 SHH327810:SHH328021 SRD327810:SRD328021 TAZ327810:TAZ328021 TKV327810:TKV328021 TUR327810:TUR328021 UEN327810:UEN328021 UOJ327810:UOJ328021 UYF327810:UYF328021 VIB327810:VIB328021 VRX327810:VRX328021 WBT327810:WBT328021 WLP327810:WLP328021 WVL327810:WVL328021 D393346:D393557 IZ393346:IZ393557 SV393346:SV393557 ACR393346:ACR393557 AMN393346:AMN393557 AWJ393346:AWJ393557 BGF393346:BGF393557 BQB393346:BQB393557 BZX393346:BZX393557 CJT393346:CJT393557 CTP393346:CTP393557 DDL393346:DDL393557 DNH393346:DNH393557 DXD393346:DXD393557 EGZ393346:EGZ393557 EQV393346:EQV393557 FAR393346:FAR393557 FKN393346:FKN393557 FUJ393346:FUJ393557 GEF393346:GEF393557 GOB393346:GOB393557 GXX393346:GXX393557 HHT393346:HHT393557 HRP393346:HRP393557 IBL393346:IBL393557 ILH393346:ILH393557 IVD393346:IVD393557 JEZ393346:JEZ393557 JOV393346:JOV393557 JYR393346:JYR393557 KIN393346:KIN393557 KSJ393346:KSJ393557 LCF393346:LCF393557 LMB393346:LMB393557 LVX393346:LVX393557 MFT393346:MFT393557 MPP393346:MPP393557 MZL393346:MZL393557 NJH393346:NJH393557 NTD393346:NTD393557 OCZ393346:OCZ393557 OMV393346:OMV393557 OWR393346:OWR393557 PGN393346:PGN393557 PQJ393346:PQJ393557 QAF393346:QAF393557 QKB393346:QKB393557 QTX393346:QTX393557 RDT393346:RDT393557 RNP393346:RNP393557 RXL393346:RXL393557 SHH393346:SHH393557 SRD393346:SRD393557 TAZ393346:TAZ393557 TKV393346:TKV393557 TUR393346:TUR393557 UEN393346:UEN393557 UOJ393346:UOJ393557 UYF393346:UYF393557 VIB393346:VIB393557 VRX393346:VRX393557 WBT393346:WBT393557 WLP393346:WLP393557 WVL393346:WVL393557 D458882:D459093 IZ458882:IZ459093 SV458882:SV459093 ACR458882:ACR459093 AMN458882:AMN459093 AWJ458882:AWJ459093 BGF458882:BGF459093 BQB458882:BQB459093 BZX458882:BZX459093 CJT458882:CJT459093 CTP458882:CTP459093 DDL458882:DDL459093 DNH458882:DNH459093 DXD458882:DXD459093 EGZ458882:EGZ459093 EQV458882:EQV459093 FAR458882:FAR459093 FKN458882:FKN459093 FUJ458882:FUJ459093 GEF458882:GEF459093 GOB458882:GOB459093 GXX458882:GXX459093 HHT458882:HHT459093 HRP458882:HRP459093 IBL458882:IBL459093 ILH458882:ILH459093 IVD458882:IVD459093 JEZ458882:JEZ459093 JOV458882:JOV459093 JYR458882:JYR459093 KIN458882:KIN459093 KSJ458882:KSJ459093 LCF458882:LCF459093 LMB458882:LMB459093 LVX458882:LVX459093 MFT458882:MFT459093 MPP458882:MPP459093 MZL458882:MZL459093 NJH458882:NJH459093 NTD458882:NTD459093 OCZ458882:OCZ459093 OMV458882:OMV459093 OWR458882:OWR459093 PGN458882:PGN459093 PQJ458882:PQJ459093 QAF458882:QAF459093 QKB458882:QKB459093 QTX458882:QTX459093 RDT458882:RDT459093 RNP458882:RNP459093 RXL458882:RXL459093 SHH458882:SHH459093 SRD458882:SRD459093 TAZ458882:TAZ459093 TKV458882:TKV459093 TUR458882:TUR459093 UEN458882:UEN459093 UOJ458882:UOJ459093 UYF458882:UYF459093 VIB458882:VIB459093 VRX458882:VRX459093 WBT458882:WBT459093 WLP458882:WLP459093 WVL458882:WVL459093 D524418:D524629 IZ524418:IZ524629 SV524418:SV524629 ACR524418:ACR524629 AMN524418:AMN524629 AWJ524418:AWJ524629 BGF524418:BGF524629 BQB524418:BQB524629 BZX524418:BZX524629 CJT524418:CJT524629 CTP524418:CTP524629 DDL524418:DDL524629 DNH524418:DNH524629 DXD524418:DXD524629 EGZ524418:EGZ524629 EQV524418:EQV524629 FAR524418:FAR524629 FKN524418:FKN524629 FUJ524418:FUJ524629 GEF524418:GEF524629 GOB524418:GOB524629 GXX524418:GXX524629 HHT524418:HHT524629 HRP524418:HRP524629 IBL524418:IBL524629 ILH524418:ILH524629 IVD524418:IVD524629 JEZ524418:JEZ524629 JOV524418:JOV524629 JYR524418:JYR524629 KIN524418:KIN524629 KSJ524418:KSJ524629 LCF524418:LCF524629 LMB524418:LMB524629 LVX524418:LVX524629 MFT524418:MFT524629 MPP524418:MPP524629 MZL524418:MZL524629 NJH524418:NJH524629 NTD524418:NTD524629 OCZ524418:OCZ524629 OMV524418:OMV524629 OWR524418:OWR524629 PGN524418:PGN524629 PQJ524418:PQJ524629 QAF524418:QAF524629 QKB524418:QKB524629 QTX524418:QTX524629 RDT524418:RDT524629 RNP524418:RNP524629 RXL524418:RXL524629 SHH524418:SHH524629 SRD524418:SRD524629 TAZ524418:TAZ524629 TKV524418:TKV524629 TUR524418:TUR524629 UEN524418:UEN524629 UOJ524418:UOJ524629 UYF524418:UYF524629 VIB524418:VIB524629 VRX524418:VRX524629 WBT524418:WBT524629 WLP524418:WLP524629 WVL524418:WVL524629 D589954:D590165 IZ589954:IZ590165 SV589954:SV590165 ACR589954:ACR590165 AMN589954:AMN590165 AWJ589954:AWJ590165 BGF589954:BGF590165 BQB589954:BQB590165 BZX589954:BZX590165 CJT589954:CJT590165 CTP589954:CTP590165 DDL589954:DDL590165 DNH589954:DNH590165 DXD589954:DXD590165 EGZ589954:EGZ590165 EQV589954:EQV590165 FAR589954:FAR590165 FKN589954:FKN590165 FUJ589954:FUJ590165 GEF589954:GEF590165 GOB589954:GOB590165 GXX589954:GXX590165 HHT589954:HHT590165 HRP589954:HRP590165 IBL589954:IBL590165 ILH589954:ILH590165 IVD589954:IVD590165 JEZ589954:JEZ590165 JOV589954:JOV590165 JYR589954:JYR590165 KIN589954:KIN590165 KSJ589954:KSJ590165 LCF589954:LCF590165 LMB589954:LMB590165 LVX589954:LVX590165 MFT589954:MFT590165 MPP589954:MPP590165 MZL589954:MZL590165 NJH589954:NJH590165 NTD589954:NTD590165 OCZ589954:OCZ590165 OMV589954:OMV590165 OWR589954:OWR590165 PGN589954:PGN590165 PQJ589954:PQJ590165 QAF589954:QAF590165 QKB589954:QKB590165 QTX589954:QTX590165 RDT589954:RDT590165 RNP589954:RNP590165 RXL589954:RXL590165 SHH589954:SHH590165 SRD589954:SRD590165 TAZ589954:TAZ590165 TKV589954:TKV590165 TUR589954:TUR590165 UEN589954:UEN590165 UOJ589954:UOJ590165 UYF589954:UYF590165 VIB589954:VIB590165 VRX589954:VRX590165 WBT589954:WBT590165 WLP589954:WLP590165 WVL589954:WVL590165 D655490:D655701 IZ655490:IZ655701 SV655490:SV655701 ACR655490:ACR655701 AMN655490:AMN655701 AWJ655490:AWJ655701 BGF655490:BGF655701 BQB655490:BQB655701 BZX655490:BZX655701 CJT655490:CJT655701 CTP655490:CTP655701 DDL655490:DDL655701 DNH655490:DNH655701 DXD655490:DXD655701 EGZ655490:EGZ655701 EQV655490:EQV655701 FAR655490:FAR655701 FKN655490:FKN655701 FUJ655490:FUJ655701 GEF655490:GEF655701 GOB655490:GOB655701 GXX655490:GXX655701 HHT655490:HHT655701 HRP655490:HRP655701 IBL655490:IBL655701 ILH655490:ILH655701 IVD655490:IVD655701 JEZ655490:JEZ655701 JOV655490:JOV655701 JYR655490:JYR655701 KIN655490:KIN655701 KSJ655490:KSJ655701 LCF655490:LCF655701 LMB655490:LMB655701 LVX655490:LVX655701 MFT655490:MFT655701 MPP655490:MPP655701 MZL655490:MZL655701 NJH655490:NJH655701 NTD655490:NTD655701 OCZ655490:OCZ655701 OMV655490:OMV655701 OWR655490:OWR655701 PGN655490:PGN655701 PQJ655490:PQJ655701 QAF655490:QAF655701 QKB655490:QKB655701 QTX655490:QTX655701 RDT655490:RDT655701 RNP655490:RNP655701 RXL655490:RXL655701 SHH655490:SHH655701 SRD655490:SRD655701 TAZ655490:TAZ655701 TKV655490:TKV655701 TUR655490:TUR655701 UEN655490:UEN655701 UOJ655490:UOJ655701 UYF655490:UYF655701 VIB655490:VIB655701 VRX655490:VRX655701 WBT655490:WBT655701 WLP655490:WLP655701 WVL655490:WVL655701 D721026:D721237 IZ721026:IZ721237 SV721026:SV721237 ACR721026:ACR721237 AMN721026:AMN721237 AWJ721026:AWJ721237 BGF721026:BGF721237 BQB721026:BQB721237 BZX721026:BZX721237 CJT721026:CJT721237 CTP721026:CTP721237 DDL721026:DDL721237 DNH721026:DNH721237 DXD721026:DXD721237 EGZ721026:EGZ721237 EQV721026:EQV721237 FAR721026:FAR721237 FKN721026:FKN721237 FUJ721026:FUJ721237 GEF721026:GEF721237 GOB721026:GOB721237 GXX721026:GXX721237 HHT721026:HHT721237 HRP721026:HRP721237 IBL721026:IBL721237 ILH721026:ILH721237 IVD721026:IVD721237 JEZ721026:JEZ721237 JOV721026:JOV721237 JYR721026:JYR721237 KIN721026:KIN721237 KSJ721026:KSJ721237 LCF721026:LCF721237 LMB721026:LMB721237 LVX721026:LVX721237 MFT721026:MFT721237 MPP721026:MPP721237 MZL721026:MZL721237 NJH721026:NJH721237 NTD721026:NTD721237 OCZ721026:OCZ721237 OMV721026:OMV721237 OWR721026:OWR721237 PGN721026:PGN721237 PQJ721026:PQJ721237 QAF721026:QAF721237 QKB721026:QKB721237 QTX721026:QTX721237 RDT721026:RDT721237 RNP721026:RNP721237 RXL721026:RXL721237 SHH721026:SHH721237 SRD721026:SRD721237 TAZ721026:TAZ721237 TKV721026:TKV721237 TUR721026:TUR721237 UEN721026:UEN721237 UOJ721026:UOJ721237 UYF721026:UYF721237 VIB721026:VIB721237 VRX721026:VRX721237 WBT721026:WBT721237 WLP721026:WLP721237 WVL721026:WVL721237 D786562:D786773 IZ786562:IZ786773 SV786562:SV786773 ACR786562:ACR786773 AMN786562:AMN786773 AWJ786562:AWJ786773 BGF786562:BGF786773 BQB786562:BQB786773 BZX786562:BZX786773 CJT786562:CJT786773 CTP786562:CTP786773 DDL786562:DDL786773 DNH786562:DNH786773 DXD786562:DXD786773 EGZ786562:EGZ786773 EQV786562:EQV786773 FAR786562:FAR786773 FKN786562:FKN786773 FUJ786562:FUJ786773 GEF786562:GEF786773 GOB786562:GOB786773 GXX786562:GXX786773 HHT786562:HHT786773 HRP786562:HRP786773 IBL786562:IBL786773 ILH786562:ILH786773 IVD786562:IVD786773 JEZ786562:JEZ786773 JOV786562:JOV786773 JYR786562:JYR786773 KIN786562:KIN786773 KSJ786562:KSJ786773 LCF786562:LCF786773 LMB786562:LMB786773 LVX786562:LVX786773 MFT786562:MFT786773 MPP786562:MPP786773 MZL786562:MZL786773 NJH786562:NJH786773 NTD786562:NTD786773 OCZ786562:OCZ786773 OMV786562:OMV786773 OWR786562:OWR786773 PGN786562:PGN786773 PQJ786562:PQJ786773 QAF786562:QAF786773 QKB786562:QKB786773 QTX786562:QTX786773 RDT786562:RDT786773 RNP786562:RNP786773 RXL786562:RXL786773 SHH786562:SHH786773 SRD786562:SRD786773 TAZ786562:TAZ786773 TKV786562:TKV786773 TUR786562:TUR786773 UEN786562:UEN786773 UOJ786562:UOJ786773 UYF786562:UYF786773 VIB786562:VIB786773 VRX786562:VRX786773 WBT786562:WBT786773 WLP786562:WLP786773 WVL786562:WVL786773 D852098:D852309 IZ852098:IZ852309 SV852098:SV852309 ACR852098:ACR852309 AMN852098:AMN852309 AWJ852098:AWJ852309 BGF852098:BGF852309 BQB852098:BQB852309 BZX852098:BZX852309 CJT852098:CJT852309 CTP852098:CTP852309 DDL852098:DDL852309 DNH852098:DNH852309 DXD852098:DXD852309 EGZ852098:EGZ852309 EQV852098:EQV852309 FAR852098:FAR852309 FKN852098:FKN852309 FUJ852098:FUJ852309 GEF852098:GEF852309 GOB852098:GOB852309 GXX852098:GXX852309 HHT852098:HHT852309 HRP852098:HRP852309 IBL852098:IBL852309 ILH852098:ILH852309 IVD852098:IVD852309 JEZ852098:JEZ852309 JOV852098:JOV852309 JYR852098:JYR852309 KIN852098:KIN852309 KSJ852098:KSJ852309 LCF852098:LCF852309 LMB852098:LMB852309 LVX852098:LVX852309 MFT852098:MFT852309 MPP852098:MPP852309 MZL852098:MZL852309 NJH852098:NJH852309 NTD852098:NTD852309 OCZ852098:OCZ852309 OMV852098:OMV852309 OWR852098:OWR852309 PGN852098:PGN852309 PQJ852098:PQJ852309 QAF852098:QAF852309 QKB852098:QKB852309 QTX852098:QTX852309 RDT852098:RDT852309 RNP852098:RNP852309 RXL852098:RXL852309 SHH852098:SHH852309 SRD852098:SRD852309 TAZ852098:TAZ852309 TKV852098:TKV852309 TUR852098:TUR852309 UEN852098:UEN852309 UOJ852098:UOJ852309 UYF852098:UYF852309 VIB852098:VIB852309 VRX852098:VRX852309 WBT852098:WBT852309 WLP852098:WLP852309 WVL852098:WVL852309 D917634:D917845 IZ917634:IZ917845 SV917634:SV917845 ACR917634:ACR917845 AMN917634:AMN917845 AWJ917634:AWJ917845 BGF917634:BGF917845 BQB917634:BQB917845 BZX917634:BZX917845 CJT917634:CJT917845 CTP917634:CTP917845 DDL917634:DDL917845 DNH917634:DNH917845 DXD917634:DXD917845 EGZ917634:EGZ917845 EQV917634:EQV917845 FAR917634:FAR917845 FKN917634:FKN917845 FUJ917634:FUJ917845 GEF917634:GEF917845 GOB917634:GOB917845 GXX917634:GXX917845 HHT917634:HHT917845 HRP917634:HRP917845 IBL917634:IBL917845 ILH917634:ILH917845 IVD917634:IVD917845 JEZ917634:JEZ917845 JOV917634:JOV917845 JYR917634:JYR917845 KIN917634:KIN917845 KSJ917634:KSJ917845 LCF917634:LCF917845 LMB917634:LMB917845 LVX917634:LVX917845 MFT917634:MFT917845 MPP917634:MPP917845 MZL917634:MZL917845 NJH917634:NJH917845 NTD917634:NTD917845 OCZ917634:OCZ917845 OMV917634:OMV917845 OWR917634:OWR917845 PGN917634:PGN917845 PQJ917634:PQJ917845 QAF917634:QAF917845 QKB917634:QKB917845 QTX917634:QTX917845 RDT917634:RDT917845 RNP917634:RNP917845 RXL917634:RXL917845 SHH917634:SHH917845 SRD917634:SRD917845 TAZ917634:TAZ917845 TKV917634:TKV917845 TUR917634:TUR917845 UEN917634:UEN917845 UOJ917634:UOJ917845 UYF917634:UYF917845 VIB917634:VIB917845 VRX917634:VRX917845 WBT917634:WBT917845 WLP917634:WLP917845 WVL917634:WVL917845 D983170:D983381 IZ983170:IZ983381 SV983170:SV983381 ACR983170:ACR983381 AMN983170:AMN983381 AWJ983170:AWJ983381 BGF983170:BGF983381 BQB983170:BQB983381 BZX983170:BZX983381 CJT983170:CJT983381 CTP983170:CTP983381 DDL983170:DDL983381 DNH983170:DNH983381 DXD983170:DXD983381 EGZ983170:EGZ983381 EQV983170:EQV983381 FAR983170:FAR983381 FKN983170:FKN983381 FUJ983170:FUJ983381 GEF983170:GEF983381 GOB983170:GOB983381 GXX983170:GXX983381 HHT983170:HHT983381 HRP983170:HRP983381 IBL983170:IBL983381 ILH983170:ILH983381 IVD983170:IVD983381 JEZ983170:JEZ983381 JOV983170:JOV983381 JYR983170:JYR983381 KIN983170:KIN983381 KSJ983170:KSJ983381 LCF983170:LCF983381 LMB983170:LMB983381 LVX983170:LVX983381 MFT983170:MFT983381 MPP983170:MPP983381 MZL983170:MZL983381 NJH983170:NJH983381 NTD983170:NTD983381 OCZ983170:OCZ983381 OMV983170:OMV983381 OWR983170:OWR983381 PGN983170:PGN983381 PQJ983170:PQJ983381 QAF983170:QAF983381 QKB983170:QKB983381 QTX983170:QTX983381 RDT983170:RDT983381 RNP983170:RNP983381 RXL983170:RXL983381 SHH983170:SHH983381 SRD983170:SRD983381 TAZ983170:TAZ983381 TKV983170:TKV983381 TUR983170:TUR983381 UEN983170:UEN983381 UOJ983170:UOJ983381 UYF983170:UYF983381 VIB983170:VIB983381 VRX983170:VRX983381 WBT983170:WBT983381 WLP983170:WLP983381 WVL983170:WVL983381" xr:uid="{00000000-0002-0000-0000-000004000000}">
      <formula1>$N$130:$N$353</formula1>
    </dataValidation>
  </dataValidations>
  <hyperlinks>
    <hyperlink ref="B30" r:id="rId1" xr:uid="{00000000-0004-0000-0000-000000000000}"/>
    <hyperlink ref="B17" r:id="rId2" xr:uid="{00000000-0004-0000-0000-000001000000}"/>
  </hyperlinks>
  <printOptions gridLines="1"/>
  <pageMargins left="0.53" right="0.38" top="0.5" bottom="0.5" header="0.5" footer="0.5"/>
  <pageSetup scale="99" fitToHeight="10" orientation="landscape" cellComments="atEnd" r:id="rId3"/>
  <headerFooter alignWithMargins="0"/>
  <rowBreaks count="1" manualBreakCount="1">
    <brk id="68" max="5" man="1"/>
  </rowBreaks>
  <drawing r:id="rId4"/>
  <legacy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316"/>
  <sheetViews>
    <sheetView tabSelected="1" topLeftCell="A304" zoomScale="118" zoomScaleNormal="118" workbookViewId="0">
      <selection activeCell="B2" sqref="B2"/>
    </sheetView>
  </sheetViews>
  <sheetFormatPr defaultColWidth="9.140625" defaultRowHeight="14.45"/>
  <cols>
    <col min="1" max="1" width="11.85546875" bestFit="1" customWidth="1"/>
    <col min="4" max="4" width="12.5703125" bestFit="1" customWidth="1"/>
    <col min="5" max="5" width="37.5703125" bestFit="1" customWidth="1"/>
    <col min="6" max="6" width="13.5703125" bestFit="1" customWidth="1"/>
    <col min="7" max="7" width="13.5703125" customWidth="1"/>
    <col min="23" max="23" width="15.140625" style="74" bestFit="1" customWidth="1"/>
    <col min="24" max="24" width="9.140625" style="74"/>
    <col min="25" max="25" width="6.28515625" bestFit="1" customWidth="1"/>
    <col min="26" max="26" width="13.42578125" style="74" bestFit="1" customWidth="1"/>
    <col min="27" max="27" width="12.85546875" style="74" bestFit="1" customWidth="1"/>
    <col min="28" max="28" width="12.85546875" bestFit="1" customWidth="1"/>
  </cols>
  <sheetData>
    <row r="1" spans="1:27">
      <c r="A1" t="s">
        <v>111</v>
      </c>
      <c r="B1" t="s">
        <v>116</v>
      </c>
      <c r="C1" s="69" t="s">
        <v>121</v>
      </c>
      <c r="D1" s="69" t="s">
        <v>127</v>
      </c>
      <c r="E1" s="69" t="s">
        <v>132</v>
      </c>
      <c r="F1" s="69" t="s">
        <v>137</v>
      </c>
      <c r="G1" s="70" t="s">
        <v>142</v>
      </c>
      <c r="H1" s="69" t="s">
        <v>145</v>
      </c>
      <c r="I1" s="69" t="s">
        <v>150</v>
      </c>
      <c r="J1" s="69" t="s">
        <v>153</v>
      </c>
      <c r="K1" s="69" t="s">
        <v>155</v>
      </c>
      <c r="L1" s="69" t="s">
        <v>157</v>
      </c>
      <c r="M1" s="69" t="s">
        <v>159</v>
      </c>
      <c r="N1" s="69" t="s">
        <v>161</v>
      </c>
      <c r="O1" s="69" t="s">
        <v>163</v>
      </c>
      <c r="P1" s="69" t="s">
        <v>165</v>
      </c>
      <c r="Q1" s="69" t="s">
        <v>167</v>
      </c>
      <c r="R1" s="69" t="s">
        <v>169</v>
      </c>
      <c r="S1" s="69" t="s">
        <v>171</v>
      </c>
      <c r="T1" s="69" t="s">
        <v>173</v>
      </c>
      <c r="U1" s="69" t="s">
        <v>175</v>
      </c>
      <c r="V1" s="69" t="s">
        <v>177</v>
      </c>
      <c r="W1" s="71" t="s">
        <v>179</v>
      </c>
      <c r="X1" s="71" t="s">
        <v>181</v>
      </c>
      <c r="Y1" s="69" t="s">
        <v>184</v>
      </c>
      <c r="Z1" s="71" t="s">
        <v>187</v>
      </c>
      <c r="AA1" s="71" t="s">
        <v>190</v>
      </c>
    </row>
    <row r="2" spans="1:27">
      <c r="A2" s="72">
        <v>41122</v>
      </c>
      <c r="B2" t="s">
        <v>387</v>
      </c>
      <c r="C2" s="69" t="s">
        <v>388</v>
      </c>
      <c r="D2" s="69" t="s">
        <v>389</v>
      </c>
      <c r="E2" s="69" t="s">
        <v>390</v>
      </c>
      <c r="F2" s="69" t="s">
        <v>391</v>
      </c>
      <c r="G2" s="73" t="str">
        <f>IF(OR(F2="blade",F2="sheath",F2="v1",F2="v0",F2="buds",F2="new buds",,F2="inflorescence",F2="inflor.",F2="inc. blade",F2="inc. sheath",F2="cys",F2="inflor/culm",F2="infl. bud",F2="inc. cys",F2="cys blade",F2="cys sheath",F2="sheath/culm",F2="new above",F2="new leaves",F2="new stems",F2="long leaf",F2="long stem",F2="short leaf",F2="short stem",F2="fruit"),"new above",IF(OR(F2="old stems",F2="old leaves",F2="old above",),"old above",IF(OR(F2="rhizome",F2="below",F2="below stems",F2="roots",),"below",IF(OR(F2="live",F2="live green"),"non-vascular",IF(OR(F2="standing dead",F2="litter"),"litter","")))))</f>
        <v>new above</v>
      </c>
      <c r="H2" s="69">
        <v>0.96399999999999997</v>
      </c>
      <c r="I2" s="69">
        <v>7.952</v>
      </c>
      <c r="J2" s="69">
        <v>2.3E-2</v>
      </c>
      <c r="K2" s="69">
        <v>1.242</v>
      </c>
      <c r="L2" s="69">
        <v>7.8680000000000003</v>
      </c>
      <c r="M2" s="69">
        <v>6.3E-2</v>
      </c>
      <c r="N2" s="69">
        <v>9.9000000000000005E-2</v>
      </c>
      <c r="O2" s="69">
        <v>9.6000000000000002E-2</v>
      </c>
      <c r="P2" s="69">
        <v>0.71499999999999997</v>
      </c>
      <c r="Q2" s="69">
        <v>2.2599999999999998</v>
      </c>
      <c r="R2" s="69">
        <v>0</v>
      </c>
      <c r="S2" s="69">
        <v>0</v>
      </c>
      <c r="T2" s="69">
        <v>0.48</v>
      </c>
      <c r="U2" s="69">
        <v>0</v>
      </c>
      <c r="V2" s="69">
        <v>0.879</v>
      </c>
      <c r="W2" s="71">
        <v>1.5094000000000001</v>
      </c>
      <c r="X2" s="71">
        <v>0.69035064800000001</v>
      </c>
      <c r="Y2" s="69">
        <v>15</v>
      </c>
      <c r="Z2" s="71">
        <v>37.734999999999999</v>
      </c>
      <c r="AA2" s="71">
        <v>17.2587662</v>
      </c>
    </row>
    <row r="3" spans="1:27">
      <c r="A3" s="72">
        <v>41122</v>
      </c>
      <c r="B3" t="s">
        <v>387</v>
      </c>
      <c r="C3" s="69" t="s">
        <v>388</v>
      </c>
      <c r="D3" s="69" t="s">
        <v>389</v>
      </c>
      <c r="E3" s="69" t="s">
        <v>390</v>
      </c>
      <c r="F3" s="69" t="s">
        <v>392</v>
      </c>
      <c r="G3" s="73" t="str">
        <f t="shared" ref="G3:G66" si="0">IF(OR(F3="blade",F3="sheath",F3="v1",F3="v0",F3="buds",F3="new buds",,F3="inflorescence",F3="inflor.",F3="inc. blade",F3="inc. sheath",F3="cys",F3="inflor/culm",F3="infl. bud",F3="inc. cys",F3="cys blade",F3="cys sheath",F3="sheath/culm",F3="new above",F3="new leaves",F3="new stems",F3="long leaf",F3="long stem",F3="short leaf",F3="short stem",F3="fruit"),"new above",IF(OR(F3="old stems",F3="old leaves",F3="old above",),"old above",IF(OR(F3="rhizome",F3="below",F3="below stems",F3="roots",),"below",IF(OR(F3="live",F3="live green"),"non-vascular",IF(OR(F3="standing dead",F3="litter"),"litter","")))))</f>
        <v>new above</v>
      </c>
      <c r="H3" s="69">
        <v>0.80400000000000005</v>
      </c>
      <c r="I3" s="69">
        <v>7.4119999999999999</v>
      </c>
      <c r="J3" s="69">
        <v>0</v>
      </c>
      <c r="K3" s="69">
        <v>0.876</v>
      </c>
      <c r="L3" s="69">
        <v>5.3920000000000003</v>
      </c>
      <c r="M3" s="69">
        <v>1.4E-2</v>
      </c>
      <c r="N3" s="69">
        <v>7.9000000000000001E-2</v>
      </c>
      <c r="O3" s="69">
        <v>1.2999999999999999E-2</v>
      </c>
      <c r="P3" s="69">
        <v>0.439</v>
      </c>
      <c r="Q3" s="69">
        <v>1.429</v>
      </c>
      <c r="R3" s="69">
        <v>0</v>
      </c>
      <c r="S3" s="69">
        <v>0</v>
      </c>
      <c r="T3" s="69">
        <v>0.5</v>
      </c>
      <c r="U3" s="69">
        <v>0</v>
      </c>
      <c r="V3" s="69">
        <v>0.61199999999999999</v>
      </c>
      <c r="W3" s="71">
        <v>1.171333333</v>
      </c>
      <c r="X3" s="71">
        <v>0.56783123499999999</v>
      </c>
      <c r="Y3" s="69">
        <v>15</v>
      </c>
      <c r="Z3" s="71">
        <v>29.283333330000001</v>
      </c>
      <c r="AA3" s="71">
        <v>14.19578087</v>
      </c>
    </row>
    <row r="4" spans="1:27">
      <c r="A4" s="72">
        <v>41122</v>
      </c>
      <c r="B4" t="s">
        <v>387</v>
      </c>
      <c r="C4" s="69" t="s">
        <v>388</v>
      </c>
      <c r="D4" s="69" t="s">
        <v>389</v>
      </c>
      <c r="E4" s="69" t="s">
        <v>390</v>
      </c>
      <c r="F4" s="69" t="s">
        <v>393</v>
      </c>
      <c r="G4" s="73" t="str">
        <f t="shared" si="0"/>
        <v>new above</v>
      </c>
      <c r="H4" s="69">
        <v>0</v>
      </c>
      <c r="I4" s="69">
        <v>0</v>
      </c>
      <c r="J4" s="69">
        <v>0</v>
      </c>
      <c r="K4" s="69">
        <v>0</v>
      </c>
      <c r="L4" s="69">
        <v>0</v>
      </c>
      <c r="M4" s="69">
        <v>0</v>
      </c>
      <c r="N4" s="69">
        <v>0</v>
      </c>
      <c r="O4" s="69">
        <v>0</v>
      </c>
      <c r="P4" s="69">
        <v>0</v>
      </c>
      <c r="Q4" s="69">
        <v>0.19500000000000001</v>
      </c>
      <c r="R4" s="69">
        <v>0</v>
      </c>
      <c r="S4" s="69">
        <v>0</v>
      </c>
      <c r="T4" s="69">
        <v>0</v>
      </c>
      <c r="U4" s="69">
        <v>0</v>
      </c>
      <c r="V4" s="69">
        <v>0</v>
      </c>
      <c r="W4" s="71">
        <v>1.2999999999999999E-2</v>
      </c>
      <c r="X4" s="71">
        <v>1.2999999999999999E-2</v>
      </c>
      <c r="Y4" s="69">
        <v>15</v>
      </c>
      <c r="Z4" s="71">
        <v>0.32500000000000001</v>
      </c>
      <c r="AA4" s="71">
        <v>0.32500000000000001</v>
      </c>
    </row>
    <row r="5" spans="1:27">
      <c r="A5" s="72">
        <v>41122</v>
      </c>
      <c r="B5" t="s">
        <v>387</v>
      </c>
      <c r="C5" s="69" t="s">
        <v>388</v>
      </c>
      <c r="D5" s="69" t="s">
        <v>389</v>
      </c>
      <c r="E5" s="69" t="s">
        <v>390</v>
      </c>
      <c r="F5" s="69" t="s">
        <v>394</v>
      </c>
      <c r="G5" s="73" t="str">
        <f t="shared" si="0"/>
        <v>below</v>
      </c>
      <c r="H5" s="69">
        <v>1.476</v>
      </c>
      <c r="I5" s="69">
        <v>7.3209999999999997</v>
      </c>
      <c r="J5" s="69">
        <v>0</v>
      </c>
      <c r="K5" s="69">
        <v>1.6779999999999999</v>
      </c>
      <c r="L5" s="69">
        <v>8.8689999999999998</v>
      </c>
      <c r="M5" s="69">
        <v>0</v>
      </c>
      <c r="N5" s="69">
        <v>0.14199999999999999</v>
      </c>
      <c r="O5" s="69">
        <v>2.4E-2</v>
      </c>
      <c r="P5" s="69">
        <v>1.0509999999999999</v>
      </c>
      <c r="Q5" s="69">
        <v>2.4609999999999999</v>
      </c>
      <c r="R5" s="69">
        <v>0</v>
      </c>
      <c r="S5" s="69">
        <v>0</v>
      </c>
      <c r="T5" s="69">
        <v>1.2370000000000001</v>
      </c>
      <c r="U5" s="69">
        <v>0</v>
      </c>
      <c r="V5" s="69">
        <v>0.69499999999999995</v>
      </c>
      <c r="W5" s="71">
        <v>1.6636</v>
      </c>
      <c r="X5" s="71">
        <v>0.70687792299999996</v>
      </c>
      <c r="Y5" s="69">
        <v>15</v>
      </c>
      <c r="Z5" s="71">
        <v>41.59</v>
      </c>
      <c r="AA5" s="71">
        <v>17.67194808</v>
      </c>
    </row>
    <row r="6" spans="1:27">
      <c r="A6" s="72">
        <v>41122</v>
      </c>
      <c r="B6" t="s">
        <v>387</v>
      </c>
      <c r="C6" s="69" t="s">
        <v>388</v>
      </c>
      <c r="D6" s="69" t="s">
        <v>389</v>
      </c>
      <c r="E6" s="69" t="s">
        <v>390</v>
      </c>
      <c r="F6" s="69" t="s">
        <v>395</v>
      </c>
      <c r="G6" s="73" t="str">
        <f t="shared" si="0"/>
        <v>litter</v>
      </c>
      <c r="H6" s="69">
        <v>2.976</v>
      </c>
      <c r="I6" s="69">
        <v>24.463999999999999</v>
      </c>
      <c r="J6" s="69">
        <v>0</v>
      </c>
      <c r="K6" s="69">
        <v>13.541</v>
      </c>
      <c r="L6" s="69">
        <v>22.157</v>
      </c>
      <c r="M6" s="69">
        <v>6.5000000000000002E-2</v>
      </c>
      <c r="N6" s="69">
        <v>0.13800000000000001</v>
      </c>
      <c r="O6" s="69">
        <v>0.109</v>
      </c>
      <c r="P6" s="69">
        <v>3.544</v>
      </c>
      <c r="Q6" s="69">
        <v>16.009</v>
      </c>
      <c r="R6" s="69">
        <v>0</v>
      </c>
      <c r="S6" s="69">
        <v>0</v>
      </c>
      <c r="T6" s="69">
        <v>0</v>
      </c>
      <c r="U6" s="69">
        <v>0</v>
      </c>
      <c r="V6" s="69">
        <v>1.673</v>
      </c>
      <c r="W6" s="71">
        <v>5.645066667</v>
      </c>
      <c r="X6" s="71">
        <v>2.2628633699999998</v>
      </c>
      <c r="Y6" s="69">
        <v>15</v>
      </c>
      <c r="Z6" s="71">
        <v>141.12666669999999</v>
      </c>
      <c r="AA6" s="71">
        <v>56.571584260000002</v>
      </c>
    </row>
    <row r="7" spans="1:27">
      <c r="A7" s="72">
        <v>41122</v>
      </c>
      <c r="B7" t="s">
        <v>387</v>
      </c>
      <c r="C7" s="69" t="s">
        <v>388</v>
      </c>
      <c r="D7" s="69" t="s">
        <v>389</v>
      </c>
      <c r="E7" s="69" t="s">
        <v>390</v>
      </c>
      <c r="F7" s="69" t="s">
        <v>396</v>
      </c>
      <c r="G7" s="73" t="str">
        <f t="shared" si="0"/>
        <v>new above</v>
      </c>
      <c r="H7" s="69">
        <v>0</v>
      </c>
      <c r="I7" s="69">
        <v>0.629</v>
      </c>
      <c r="J7" s="69">
        <v>0</v>
      </c>
      <c r="K7" s="69">
        <v>0</v>
      </c>
      <c r="L7" s="69">
        <v>0.13600000000000001</v>
      </c>
      <c r="M7" s="69">
        <v>0</v>
      </c>
      <c r="N7" s="69">
        <v>0</v>
      </c>
      <c r="O7" s="69">
        <v>0</v>
      </c>
      <c r="P7" s="69">
        <v>9.6000000000000002E-2</v>
      </c>
      <c r="Q7" s="69">
        <v>0.21299999999999999</v>
      </c>
      <c r="R7" s="69">
        <v>0</v>
      </c>
      <c r="S7" s="69">
        <v>0</v>
      </c>
      <c r="T7" s="69">
        <v>0</v>
      </c>
      <c r="U7" s="69">
        <v>0</v>
      </c>
      <c r="V7" s="69">
        <v>0</v>
      </c>
      <c r="W7" s="71">
        <v>7.1599999999999997E-2</v>
      </c>
      <c r="X7" s="71">
        <v>4.3195216000000002E-2</v>
      </c>
      <c r="Y7" s="69">
        <v>15</v>
      </c>
      <c r="Z7" s="71">
        <v>1.79</v>
      </c>
      <c r="AA7" s="71">
        <v>1.079880395</v>
      </c>
    </row>
    <row r="8" spans="1:27">
      <c r="A8" s="72">
        <v>41122</v>
      </c>
      <c r="B8" t="s">
        <v>387</v>
      </c>
      <c r="C8" s="69" t="s">
        <v>388</v>
      </c>
      <c r="D8" s="69" t="s">
        <v>389</v>
      </c>
      <c r="E8" s="69" t="s">
        <v>397</v>
      </c>
      <c r="F8" s="69" t="s">
        <v>391</v>
      </c>
      <c r="G8" s="73" t="str">
        <f t="shared" si="0"/>
        <v>new above</v>
      </c>
      <c r="H8" s="69">
        <v>0</v>
      </c>
      <c r="I8" s="69">
        <v>0.45500000000000002</v>
      </c>
      <c r="J8" s="69">
        <v>0.254</v>
      </c>
      <c r="K8" s="69">
        <v>0</v>
      </c>
      <c r="L8" s="69">
        <v>0.27400000000000002</v>
      </c>
      <c r="M8" s="69">
        <v>0</v>
      </c>
      <c r="N8" s="69">
        <v>0</v>
      </c>
      <c r="O8" s="69">
        <v>0</v>
      </c>
      <c r="P8" s="69">
        <v>0</v>
      </c>
      <c r="Q8" s="69">
        <v>0.246</v>
      </c>
      <c r="R8" s="69">
        <v>0.49399999999999999</v>
      </c>
      <c r="S8" s="69">
        <v>0.223</v>
      </c>
      <c r="T8" s="69">
        <v>0</v>
      </c>
      <c r="U8" s="69">
        <v>0.63200000000000001</v>
      </c>
      <c r="V8" s="69">
        <v>0.23799999999999999</v>
      </c>
      <c r="W8" s="71">
        <v>0.187733333</v>
      </c>
      <c r="X8" s="71">
        <v>5.4698695999999998E-2</v>
      </c>
      <c r="Y8" s="69">
        <v>15</v>
      </c>
      <c r="Z8" s="71">
        <v>4.693333333</v>
      </c>
      <c r="AA8" s="71">
        <v>1.3674673900000001</v>
      </c>
    </row>
    <row r="9" spans="1:27">
      <c r="A9" s="72">
        <v>41122</v>
      </c>
      <c r="B9" t="s">
        <v>387</v>
      </c>
      <c r="C9" s="69" t="s">
        <v>388</v>
      </c>
      <c r="D9" s="69" t="s">
        <v>389</v>
      </c>
      <c r="E9" s="69" t="s">
        <v>397</v>
      </c>
      <c r="F9" s="69" t="s">
        <v>392</v>
      </c>
      <c r="G9" s="73" t="str">
        <f t="shared" si="0"/>
        <v>new above</v>
      </c>
      <c r="H9" s="69">
        <v>0</v>
      </c>
      <c r="I9" s="69">
        <v>0.17699999999999999</v>
      </c>
      <c r="J9" s="69">
        <v>0.123</v>
      </c>
      <c r="K9" s="69">
        <v>0</v>
      </c>
      <c r="L9" s="69">
        <v>0</v>
      </c>
      <c r="M9" s="69">
        <v>0</v>
      </c>
      <c r="N9" s="69">
        <v>0</v>
      </c>
      <c r="O9" s="69">
        <v>0</v>
      </c>
      <c r="P9" s="69">
        <v>0</v>
      </c>
      <c r="Q9" s="69">
        <v>0</v>
      </c>
      <c r="R9" s="69">
        <v>0.29399999999999998</v>
      </c>
      <c r="S9" s="69">
        <v>7.6999999999999999E-2</v>
      </c>
      <c r="T9" s="69">
        <v>0</v>
      </c>
      <c r="U9" s="69">
        <v>0.35899999999999999</v>
      </c>
      <c r="V9" s="69">
        <v>0.22600000000000001</v>
      </c>
      <c r="W9" s="71">
        <v>8.3733332999999993E-2</v>
      </c>
      <c r="X9" s="71">
        <v>3.1893493000000002E-2</v>
      </c>
      <c r="Y9" s="69">
        <v>15</v>
      </c>
      <c r="Z9" s="71">
        <v>2.0933333329999999</v>
      </c>
      <c r="AA9" s="71">
        <v>0.79733733500000004</v>
      </c>
    </row>
    <row r="10" spans="1:27">
      <c r="A10" s="72">
        <v>41122</v>
      </c>
      <c r="B10" t="s">
        <v>387</v>
      </c>
      <c r="C10" s="69" t="s">
        <v>388</v>
      </c>
      <c r="D10" s="69" t="s">
        <v>389</v>
      </c>
      <c r="E10" s="69" t="s">
        <v>397</v>
      </c>
      <c r="F10" s="69" t="s">
        <v>393</v>
      </c>
      <c r="G10" s="73" t="str">
        <f t="shared" si="0"/>
        <v>new above</v>
      </c>
      <c r="H10" s="69">
        <v>0</v>
      </c>
      <c r="I10" s="69">
        <v>0</v>
      </c>
      <c r="J10" s="69">
        <v>0.183</v>
      </c>
      <c r="K10" s="69">
        <v>0</v>
      </c>
      <c r="L10" s="69">
        <v>0.41499999999999998</v>
      </c>
      <c r="M10" s="69">
        <v>0</v>
      </c>
      <c r="N10" s="69">
        <v>0</v>
      </c>
      <c r="O10" s="69">
        <v>0</v>
      </c>
      <c r="P10" s="69">
        <v>0</v>
      </c>
      <c r="Q10" s="69">
        <v>5.0999999999999997E-2</v>
      </c>
      <c r="R10" s="69">
        <v>2.7E-2</v>
      </c>
      <c r="S10" s="69">
        <v>0</v>
      </c>
      <c r="T10" s="69">
        <v>0</v>
      </c>
      <c r="U10" s="69">
        <v>0.11</v>
      </c>
      <c r="V10" s="69">
        <v>0.247</v>
      </c>
      <c r="W10" s="71">
        <v>6.8866667000000006E-2</v>
      </c>
      <c r="X10" s="71">
        <v>3.1699010999999999E-2</v>
      </c>
      <c r="Y10" s="69">
        <v>15</v>
      </c>
      <c r="Z10" s="71">
        <v>1.721666667</v>
      </c>
      <c r="AA10" s="71">
        <v>0.79247527600000001</v>
      </c>
    </row>
    <row r="11" spans="1:27">
      <c r="A11" s="72">
        <v>41122</v>
      </c>
      <c r="B11" t="s">
        <v>387</v>
      </c>
      <c r="C11" s="69" t="s">
        <v>388</v>
      </c>
      <c r="D11" s="69" t="s">
        <v>389</v>
      </c>
      <c r="E11" s="69" t="s">
        <v>397</v>
      </c>
      <c r="F11" s="69" t="s">
        <v>394</v>
      </c>
      <c r="G11" s="73" t="str">
        <f t="shared" si="0"/>
        <v>below</v>
      </c>
      <c r="H11" s="69">
        <v>0</v>
      </c>
      <c r="I11" s="69">
        <v>0.72399999999999998</v>
      </c>
      <c r="J11" s="69">
        <v>2.4870000000000001</v>
      </c>
      <c r="K11" s="69">
        <v>3.093</v>
      </c>
      <c r="L11" s="69">
        <v>0.41799999999999998</v>
      </c>
      <c r="M11" s="69">
        <v>0</v>
      </c>
      <c r="N11" s="69">
        <v>0</v>
      </c>
      <c r="O11" s="69">
        <v>0</v>
      </c>
      <c r="P11" s="69">
        <v>0</v>
      </c>
      <c r="Q11" s="69">
        <v>0.22500000000000001</v>
      </c>
      <c r="R11" s="69">
        <v>1.6439999999999999</v>
      </c>
      <c r="S11" s="69">
        <v>2.0209999999999999</v>
      </c>
      <c r="T11" s="69">
        <v>0</v>
      </c>
      <c r="U11" s="69">
        <v>0.86599999999999999</v>
      </c>
      <c r="V11" s="69">
        <v>4.1420000000000003</v>
      </c>
      <c r="W11" s="71">
        <v>1.0413333330000001</v>
      </c>
      <c r="X11" s="71">
        <v>0.34454257700000002</v>
      </c>
      <c r="Y11" s="69">
        <v>15</v>
      </c>
      <c r="Z11" s="71">
        <v>26.033333330000001</v>
      </c>
      <c r="AA11" s="71">
        <v>8.6135644229999997</v>
      </c>
    </row>
    <row r="12" spans="1:27">
      <c r="A12" s="72">
        <v>41122</v>
      </c>
      <c r="B12" t="s">
        <v>387</v>
      </c>
      <c r="C12" s="69" t="s">
        <v>388</v>
      </c>
      <c r="D12" s="69" t="s">
        <v>389</v>
      </c>
      <c r="E12" s="69" t="s">
        <v>397</v>
      </c>
      <c r="F12" s="69" t="s">
        <v>395</v>
      </c>
      <c r="G12" s="73" t="str">
        <f t="shared" si="0"/>
        <v>litter</v>
      </c>
      <c r="H12" s="69">
        <v>0</v>
      </c>
      <c r="I12" s="69">
        <v>0.67700000000000005</v>
      </c>
      <c r="J12" s="69">
        <v>0.93600000000000005</v>
      </c>
      <c r="K12" s="69">
        <v>0</v>
      </c>
      <c r="L12" s="69">
        <v>0.68100000000000005</v>
      </c>
      <c r="M12" s="69">
        <v>0</v>
      </c>
      <c r="N12" s="69">
        <v>0</v>
      </c>
      <c r="O12" s="69">
        <v>0</v>
      </c>
      <c r="P12" s="69">
        <v>0</v>
      </c>
      <c r="Q12" s="69">
        <v>0.55700000000000005</v>
      </c>
      <c r="R12" s="69">
        <v>2.4580000000000002</v>
      </c>
      <c r="S12" s="69">
        <v>0.28999999999999998</v>
      </c>
      <c r="T12" s="69">
        <v>0</v>
      </c>
      <c r="U12" s="69">
        <v>3.1840000000000002</v>
      </c>
      <c r="V12" s="69">
        <v>1.5269999999999999</v>
      </c>
      <c r="W12" s="71">
        <v>0.68733333299999999</v>
      </c>
      <c r="X12" s="71">
        <v>0.25464706999999998</v>
      </c>
      <c r="Y12" s="69">
        <v>15</v>
      </c>
      <c r="Z12" s="71">
        <v>17.18333333</v>
      </c>
      <c r="AA12" s="71">
        <v>6.3661767449999997</v>
      </c>
    </row>
    <row r="13" spans="1:27">
      <c r="A13" s="72">
        <v>41122</v>
      </c>
      <c r="B13" t="s">
        <v>387</v>
      </c>
      <c r="C13" s="69" t="s">
        <v>388</v>
      </c>
      <c r="D13" s="69" t="s">
        <v>389</v>
      </c>
      <c r="E13" s="69" t="s">
        <v>398</v>
      </c>
      <c r="F13" s="69" t="s">
        <v>391</v>
      </c>
      <c r="G13" s="73" t="str">
        <f t="shared" si="0"/>
        <v>new above</v>
      </c>
      <c r="H13" s="69">
        <v>0</v>
      </c>
      <c r="I13" s="69">
        <v>0</v>
      </c>
      <c r="J13" s="69">
        <v>0</v>
      </c>
      <c r="K13" s="69">
        <v>0</v>
      </c>
      <c r="L13" s="69">
        <v>0</v>
      </c>
      <c r="M13" s="69">
        <v>0</v>
      </c>
      <c r="N13" s="69">
        <v>0</v>
      </c>
      <c r="O13" s="69">
        <v>0</v>
      </c>
      <c r="P13" s="69">
        <v>0</v>
      </c>
      <c r="Q13" s="69">
        <v>0</v>
      </c>
      <c r="R13" s="69">
        <v>0</v>
      </c>
      <c r="S13" s="69">
        <v>0</v>
      </c>
      <c r="T13" s="69">
        <v>7.1999999999999995E-2</v>
      </c>
      <c r="U13" s="69">
        <v>0</v>
      </c>
      <c r="V13" s="69">
        <v>0</v>
      </c>
      <c r="W13" s="71">
        <v>4.7999999999999996E-3</v>
      </c>
      <c r="X13" s="71">
        <v>4.7999999999999996E-3</v>
      </c>
      <c r="Y13" s="69">
        <v>15</v>
      </c>
      <c r="Z13" s="71">
        <v>0.12</v>
      </c>
      <c r="AA13" s="71">
        <v>0.12</v>
      </c>
    </row>
    <row r="14" spans="1:27">
      <c r="A14" s="72">
        <v>41122</v>
      </c>
      <c r="B14" t="s">
        <v>387</v>
      </c>
      <c r="C14" s="69" t="s">
        <v>388</v>
      </c>
      <c r="D14" s="69" t="s">
        <v>389</v>
      </c>
      <c r="E14" s="69" t="s">
        <v>398</v>
      </c>
      <c r="F14" s="69" t="s">
        <v>392</v>
      </c>
      <c r="G14" s="73" t="str">
        <f t="shared" si="0"/>
        <v>new above</v>
      </c>
      <c r="H14" s="69">
        <v>0</v>
      </c>
      <c r="I14" s="69">
        <v>0</v>
      </c>
      <c r="J14" s="69">
        <v>0</v>
      </c>
      <c r="K14" s="69">
        <v>0</v>
      </c>
      <c r="L14" s="69">
        <v>0</v>
      </c>
      <c r="M14" s="69">
        <v>0</v>
      </c>
      <c r="N14" s="69">
        <v>0</v>
      </c>
      <c r="O14" s="69">
        <v>0</v>
      </c>
      <c r="P14" s="69">
        <v>0</v>
      </c>
      <c r="Q14" s="69">
        <v>0</v>
      </c>
      <c r="R14" s="69">
        <v>0</v>
      </c>
      <c r="S14" s="69">
        <v>0</v>
      </c>
      <c r="T14" s="69">
        <v>0</v>
      </c>
      <c r="U14" s="69">
        <v>0</v>
      </c>
      <c r="V14" s="69">
        <v>0</v>
      </c>
      <c r="W14" s="71">
        <v>0</v>
      </c>
      <c r="X14" s="71">
        <v>0</v>
      </c>
      <c r="Y14" s="69">
        <v>15</v>
      </c>
      <c r="Z14" s="71">
        <v>0</v>
      </c>
      <c r="AA14" s="71">
        <v>0</v>
      </c>
    </row>
    <row r="15" spans="1:27">
      <c r="A15" s="72">
        <v>41122</v>
      </c>
      <c r="B15" t="s">
        <v>387</v>
      </c>
      <c r="C15" s="69" t="s">
        <v>388</v>
      </c>
      <c r="D15" s="69" t="s">
        <v>389</v>
      </c>
      <c r="E15" s="69" t="s">
        <v>398</v>
      </c>
      <c r="F15" s="69" t="s">
        <v>393</v>
      </c>
      <c r="G15" s="73" t="str">
        <f t="shared" si="0"/>
        <v>new above</v>
      </c>
      <c r="H15" s="69">
        <v>0</v>
      </c>
      <c r="I15" s="69">
        <v>0</v>
      </c>
      <c r="J15" s="69">
        <v>0</v>
      </c>
      <c r="K15" s="69">
        <v>0</v>
      </c>
      <c r="L15" s="69">
        <v>0</v>
      </c>
      <c r="M15" s="69">
        <v>0</v>
      </c>
      <c r="N15" s="69">
        <v>0</v>
      </c>
      <c r="O15" s="69">
        <v>0</v>
      </c>
      <c r="P15" s="69">
        <v>0</v>
      </c>
      <c r="Q15" s="69">
        <v>0</v>
      </c>
      <c r="R15" s="69">
        <v>0</v>
      </c>
      <c r="S15" s="69">
        <v>0</v>
      </c>
      <c r="T15" s="69">
        <v>0</v>
      </c>
      <c r="U15" s="69">
        <v>0</v>
      </c>
      <c r="V15" s="69">
        <v>0</v>
      </c>
      <c r="W15" s="71">
        <v>0</v>
      </c>
      <c r="X15" s="71">
        <v>0</v>
      </c>
      <c r="Y15" s="69">
        <v>15</v>
      </c>
      <c r="Z15" s="71">
        <v>0</v>
      </c>
      <c r="AA15" s="71">
        <v>0</v>
      </c>
    </row>
    <row r="16" spans="1:27">
      <c r="A16" s="72">
        <v>41122</v>
      </c>
      <c r="B16" t="s">
        <v>387</v>
      </c>
      <c r="C16" s="69" t="s">
        <v>388</v>
      </c>
      <c r="D16" s="69" t="s">
        <v>389</v>
      </c>
      <c r="E16" s="69" t="s">
        <v>398</v>
      </c>
      <c r="F16" s="69" t="s">
        <v>394</v>
      </c>
      <c r="G16" s="73" t="str">
        <f t="shared" si="0"/>
        <v>below</v>
      </c>
      <c r="H16" s="69">
        <v>0</v>
      </c>
      <c r="I16" s="69">
        <v>0</v>
      </c>
      <c r="J16" s="69">
        <v>0</v>
      </c>
      <c r="K16" s="69">
        <v>0</v>
      </c>
      <c r="L16" s="69">
        <v>0</v>
      </c>
      <c r="M16" s="69">
        <v>0</v>
      </c>
      <c r="N16" s="69">
        <v>0</v>
      </c>
      <c r="O16" s="69">
        <v>0</v>
      </c>
      <c r="P16" s="69">
        <v>0</v>
      </c>
      <c r="Q16" s="69">
        <v>0</v>
      </c>
      <c r="R16" s="69">
        <v>0</v>
      </c>
      <c r="S16" s="69">
        <v>0</v>
      </c>
      <c r="T16" s="69">
        <v>0.64800000000000002</v>
      </c>
      <c r="U16" s="69">
        <v>0</v>
      </c>
      <c r="V16" s="69">
        <v>0</v>
      </c>
      <c r="W16" s="71">
        <v>4.3200000000000002E-2</v>
      </c>
      <c r="X16" s="71">
        <v>4.3200000000000002E-2</v>
      </c>
      <c r="Y16" s="69">
        <v>15</v>
      </c>
      <c r="Z16" s="71">
        <v>1.08</v>
      </c>
      <c r="AA16" s="71">
        <v>1.08</v>
      </c>
    </row>
    <row r="17" spans="1:27">
      <c r="A17" s="72">
        <v>41122</v>
      </c>
      <c r="B17" t="s">
        <v>387</v>
      </c>
      <c r="C17" s="69" t="s">
        <v>388</v>
      </c>
      <c r="D17" s="69" t="s">
        <v>389</v>
      </c>
      <c r="E17" s="69" t="s">
        <v>398</v>
      </c>
      <c r="F17" s="69" t="s">
        <v>395</v>
      </c>
      <c r="G17" s="73" t="str">
        <f t="shared" si="0"/>
        <v>litter</v>
      </c>
      <c r="H17" s="69">
        <v>0</v>
      </c>
      <c r="I17" s="69">
        <v>0</v>
      </c>
      <c r="J17" s="69">
        <v>0</v>
      </c>
      <c r="K17" s="69">
        <v>0</v>
      </c>
      <c r="L17" s="69">
        <v>0</v>
      </c>
      <c r="M17" s="69">
        <v>0</v>
      </c>
      <c r="N17" s="69">
        <v>0</v>
      </c>
      <c r="O17" s="69">
        <v>0</v>
      </c>
      <c r="P17" s="69">
        <v>0</v>
      </c>
      <c r="Q17" s="69">
        <v>0</v>
      </c>
      <c r="R17" s="69">
        <v>0</v>
      </c>
      <c r="S17" s="69">
        <v>0</v>
      </c>
      <c r="T17" s="69">
        <v>0.36699999999999999</v>
      </c>
      <c r="U17" s="69">
        <v>0</v>
      </c>
      <c r="V17" s="69">
        <v>0</v>
      </c>
      <c r="W17" s="71">
        <v>2.4466667000000001E-2</v>
      </c>
      <c r="X17" s="71">
        <v>2.4466667000000001E-2</v>
      </c>
      <c r="Y17" s="69">
        <v>15</v>
      </c>
      <c r="Z17" s="71">
        <v>0.61166666700000005</v>
      </c>
      <c r="AA17" s="71">
        <v>0.61166666700000005</v>
      </c>
    </row>
    <row r="18" spans="1:27">
      <c r="A18" s="72">
        <v>41122</v>
      </c>
      <c r="B18" t="s">
        <v>387</v>
      </c>
      <c r="C18" s="69" t="s">
        <v>388</v>
      </c>
      <c r="D18" s="69" t="s">
        <v>389</v>
      </c>
      <c r="E18" s="69" t="s">
        <v>399</v>
      </c>
      <c r="F18" s="69" t="s">
        <v>391</v>
      </c>
      <c r="G18" s="73" t="str">
        <f t="shared" si="0"/>
        <v>new above</v>
      </c>
      <c r="H18" s="69">
        <v>0</v>
      </c>
      <c r="I18" s="69">
        <v>0</v>
      </c>
      <c r="J18" s="69">
        <v>0</v>
      </c>
      <c r="K18" s="69">
        <v>0</v>
      </c>
      <c r="L18" s="69">
        <v>0</v>
      </c>
      <c r="M18" s="69">
        <v>0</v>
      </c>
      <c r="N18" s="69">
        <v>0</v>
      </c>
      <c r="O18" s="69">
        <v>1.6E-2</v>
      </c>
      <c r="P18" s="69">
        <v>0</v>
      </c>
      <c r="Q18" s="69">
        <v>0.246</v>
      </c>
      <c r="R18" s="69">
        <v>0</v>
      </c>
      <c r="S18" s="69">
        <v>0</v>
      </c>
      <c r="T18" s="69">
        <v>0</v>
      </c>
      <c r="U18" s="69">
        <v>0</v>
      </c>
      <c r="V18" s="69">
        <v>0</v>
      </c>
      <c r="W18" s="71">
        <v>1.7466667000000002E-2</v>
      </c>
      <c r="X18" s="71">
        <v>1.6358444999999999E-2</v>
      </c>
      <c r="Y18" s="69">
        <v>15</v>
      </c>
      <c r="Z18" s="71">
        <v>0.43666666700000001</v>
      </c>
      <c r="AA18" s="71">
        <v>0.40896113099999998</v>
      </c>
    </row>
    <row r="19" spans="1:27">
      <c r="A19" s="72">
        <v>41122</v>
      </c>
      <c r="B19" t="s">
        <v>387</v>
      </c>
      <c r="C19" s="69" t="s">
        <v>388</v>
      </c>
      <c r="D19" s="69" t="s">
        <v>389</v>
      </c>
      <c r="E19" s="69" t="s">
        <v>399</v>
      </c>
      <c r="F19" s="69" t="s">
        <v>392</v>
      </c>
      <c r="G19" s="73" t="str">
        <f t="shared" si="0"/>
        <v>new above</v>
      </c>
      <c r="H19" s="69">
        <v>0</v>
      </c>
      <c r="I19" s="69">
        <v>0</v>
      </c>
      <c r="J19" s="69">
        <v>0</v>
      </c>
      <c r="K19" s="69">
        <v>0</v>
      </c>
      <c r="L19" s="69">
        <v>0</v>
      </c>
      <c r="M19" s="69">
        <v>0</v>
      </c>
      <c r="N19" s="69">
        <v>0</v>
      </c>
      <c r="O19" s="69">
        <v>1E-3</v>
      </c>
      <c r="P19" s="69">
        <v>0</v>
      </c>
      <c r="Q19" s="69">
        <v>2.4E-2</v>
      </c>
      <c r="R19" s="69">
        <v>0</v>
      </c>
      <c r="S19" s="69">
        <v>0</v>
      </c>
      <c r="T19" s="69">
        <v>0</v>
      </c>
      <c r="U19" s="69">
        <v>0</v>
      </c>
      <c r="V19" s="69">
        <v>0</v>
      </c>
      <c r="W19" s="71">
        <v>1.6666669999999999E-3</v>
      </c>
      <c r="X19" s="71">
        <v>1.5966229999999999E-3</v>
      </c>
      <c r="Y19" s="69">
        <v>15</v>
      </c>
      <c r="Z19" s="71">
        <v>4.1666666999999998E-2</v>
      </c>
      <c r="AA19" s="71">
        <v>3.9915586000000003E-2</v>
      </c>
    </row>
    <row r="20" spans="1:27">
      <c r="A20" s="72">
        <v>41122</v>
      </c>
      <c r="B20" t="s">
        <v>387</v>
      </c>
      <c r="C20" s="69" t="s">
        <v>388</v>
      </c>
      <c r="D20" s="69" t="s">
        <v>389</v>
      </c>
      <c r="E20" s="69" t="s">
        <v>399</v>
      </c>
      <c r="F20" s="69" t="s">
        <v>393</v>
      </c>
      <c r="G20" s="73" t="str">
        <f t="shared" si="0"/>
        <v>new above</v>
      </c>
      <c r="H20" s="69">
        <v>0</v>
      </c>
      <c r="I20" s="69">
        <v>0</v>
      </c>
      <c r="J20" s="69">
        <v>0</v>
      </c>
      <c r="K20" s="69">
        <v>0</v>
      </c>
      <c r="L20" s="69">
        <v>0</v>
      </c>
      <c r="M20" s="69">
        <v>0</v>
      </c>
      <c r="N20" s="69">
        <v>0</v>
      </c>
      <c r="O20" s="69">
        <v>0</v>
      </c>
      <c r="P20" s="69">
        <v>0</v>
      </c>
      <c r="Q20" s="69">
        <v>0.129</v>
      </c>
      <c r="R20" s="69">
        <v>0</v>
      </c>
      <c r="S20" s="69">
        <v>0</v>
      </c>
      <c r="T20" s="69">
        <v>0</v>
      </c>
      <c r="U20" s="69">
        <v>0</v>
      </c>
      <c r="V20" s="69">
        <v>0</v>
      </c>
      <c r="W20" s="71">
        <v>8.6E-3</v>
      </c>
      <c r="X20" s="71">
        <v>8.6E-3</v>
      </c>
      <c r="Y20" s="69">
        <v>15</v>
      </c>
      <c r="Z20" s="71">
        <v>0.215</v>
      </c>
      <c r="AA20" s="71">
        <v>0.215</v>
      </c>
    </row>
    <row r="21" spans="1:27">
      <c r="A21" s="72">
        <v>41122</v>
      </c>
      <c r="B21" t="s">
        <v>387</v>
      </c>
      <c r="C21" s="69" t="s">
        <v>388</v>
      </c>
      <c r="D21" s="69" t="s">
        <v>389</v>
      </c>
      <c r="E21" s="69" t="s">
        <v>399</v>
      </c>
      <c r="F21" s="69" t="s">
        <v>394</v>
      </c>
      <c r="G21" s="73" t="str">
        <f t="shared" si="0"/>
        <v>below</v>
      </c>
      <c r="H21" s="69">
        <v>0</v>
      </c>
      <c r="I21" s="69">
        <v>0</v>
      </c>
      <c r="J21" s="69">
        <v>0</v>
      </c>
      <c r="K21" s="69">
        <v>0</v>
      </c>
      <c r="L21" s="69">
        <v>0</v>
      </c>
      <c r="M21" s="69">
        <v>0</v>
      </c>
      <c r="N21" s="69">
        <v>0</v>
      </c>
      <c r="O21" s="69">
        <v>5.1999999999999998E-2</v>
      </c>
      <c r="P21" s="69">
        <v>0</v>
      </c>
      <c r="Q21" s="69">
        <v>0.47899999999999998</v>
      </c>
      <c r="R21" s="69">
        <v>0</v>
      </c>
      <c r="S21" s="69">
        <v>0</v>
      </c>
      <c r="T21" s="69">
        <v>0</v>
      </c>
      <c r="U21" s="69">
        <v>0</v>
      </c>
      <c r="V21" s="69">
        <v>0</v>
      </c>
      <c r="W21" s="71">
        <v>3.5400000000000001E-2</v>
      </c>
      <c r="X21" s="71">
        <v>3.1873828999999999E-2</v>
      </c>
      <c r="Y21" s="69">
        <v>15</v>
      </c>
      <c r="Z21" s="71">
        <v>0.88500000000000001</v>
      </c>
      <c r="AA21" s="71">
        <v>0.79684571599999998</v>
      </c>
    </row>
    <row r="22" spans="1:27">
      <c r="A22" s="72">
        <v>41122</v>
      </c>
      <c r="B22" t="s">
        <v>387</v>
      </c>
      <c r="C22" s="69" t="s">
        <v>388</v>
      </c>
      <c r="D22" s="69" t="s">
        <v>389</v>
      </c>
      <c r="E22" s="69" t="s">
        <v>399</v>
      </c>
      <c r="F22" s="69" t="s">
        <v>395</v>
      </c>
      <c r="G22" s="73" t="str">
        <f t="shared" si="0"/>
        <v>litter</v>
      </c>
      <c r="H22" s="69">
        <v>0</v>
      </c>
      <c r="I22" s="69">
        <v>0</v>
      </c>
      <c r="J22" s="69">
        <v>0</v>
      </c>
      <c r="K22" s="69">
        <v>0</v>
      </c>
      <c r="L22" s="69">
        <v>0</v>
      </c>
      <c r="M22" s="69">
        <v>0</v>
      </c>
      <c r="N22" s="69">
        <v>0</v>
      </c>
      <c r="O22" s="69">
        <v>0.249</v>
      </c>
      <c r="P22" s="69">
        <v>0</v>
      </c>
      <c r="Q22" s="69">
        <v>2.4470000000000001</v>
      </c>
      <c r="R22" s="69">
        <v>0</v>
      </c>
      <c r="S22" s="69">
        <v>0</v>
      </c>
      <c r="T22" s="69">
        <v>0</v>
      </c>
      <c r="U22" s="69">
        <v>0</v>
      </c>
      <c r="V22" s="69">
        <v>0</v>
      </c>
      <c r="W22" s="71">
        <v>0.179733333</v>
      </c>
      <c r="X22" s="71">
        <v>0.16279184699999999</v>
      </c>
      <c r="Y22" s="69">
        <v>15</v>
      </c>
      <c r="Z22" s="71">
        <v>4.4933333329999998</v>
      </c>
      <c r="AA22" s="71">
        <v>4.0697961710000001</v>
      </c>
    </row>
    <row r="23" spans="1:27">
      <c r="A23" s="72">
        <v>41122</v>
      </c>
      <c r="B23" t="s">
        <v>387</v>
      </c>
      <c r="C23" s="69" t="s">
        <v>388</v>
      </c>
      <c r="D23" s="69" t="s">
        <v>400</v>
      </c>
      <c r="E23" s="69" t="s">
        <v>401</v>
      </c>
      <c r="F23" s="69" t="s">
        <v>402</v>
      </c>
      <c r="G23" s="73" t="str">
        <f t="shared" si="0"/>
        <v>new above</v>
      </c>
      <c r="H23" s="69">
        <v>2.4279999999999999</v>
      </c>
      <c r="I23" s="69">
        <v>0.251</v>
      </c>
      <c r="J23" s="69">
        <v>0</v>
      </c>
      <c r="K23" s="69">
        <v>0</v>
      </c>
      <c r="L23" s="69">
        <v>0</v>
      </c>
      <c r="M23" s="69">
        <v>0.495</v>
      </c>
      <c r="N23" s="69">
        <v>0.82299999999999995</v>
      </c>
      <c r="O23" s="69">
        <v>0</v>
      </c>
      <c r="P23" s="69">
        <v>0.14000000000000001</v>
      </c>
      <c r="Q23" s="69">
        <v>0</v>
      </c>
      <c r="R23" s="69">
        <v>0</v>
      </c>
      <c r="S23" s="69">
        <v>0.115</v>
      </c>
      <c r="T23" s="69">
        <v>1.3759999999999999</v>
      </c>
      <c r="U23" s="69">
        <v>0</v>
      </c>
      <c r="V23" s="69">
        <v>0.28599999999999998</v>
      </c>
      <c r="W23" s="71">
        <v>0.39426666700000002</v>
      </c>
      <c r="X23" s="71">
        <v>0.17670048599999999</v>
      </c>
      <c r="Y23" s="69">
        <v>15</v>
      </c>
      <c r="Z23" s="71">
        <v>9.8566666670000007</v>
      </c>
      <c r="AA23" s="71">
        <v>4.4175121380000002</v>
      </c>
    </row>
    <row r="24" spans="1:27">
      <c r="A24" s="72">
        <v>41122</v>
      </c>
      <c r="B24" t="s">
        <v>387</v>
      </c>
      <c r="C24" s="69" t="s">
        <v>388</v>
      </c>
      <c r="D24" s="69" t="s">
        <v>400</v>
      </c>
      <c r="E24" s="69" t="s">
        <v>401</v>
      </c>
      <c r="F24" s="69" t="s">
        <v>403</v>
      </c>
      <c r="G24" s="73" t="str">
        <f t="shared" si="0"/>
        <v>new above</v>
      </c>
      <c r="H24" s="69">
        <v>0.32700000000000001</v>
      </c>
      <c r="I24" s="69">
        <v>5.7000000000000002E-2</v>
      </c>
      <c r="J24" s="69">
        <v>0</v>
      </c>
      <c r="K24" s="69">
        <v>0</v>
      </c>
      <c r="L24" s="69">
        <v>0</v>
      </c>
      <c r="M24" s="69">
        <v>0.18</v>
      </c>
      <c r="N24" s="69">
        <v>0.35</v>
      </c>
      <c r="O24" s="69">
        <v>0</v>
      </c>
      <c r="P24" s="69">
        <v>7.6999999999999999E-2</v>
      </c>
      <c r="Q24" s="69">
        <v>0</v>
      </c>
      <c r="R24" s="69">
        <v>0</v>
      </c>
      <c r="S24" s="69">
        <v>0.02</v>
      </c>
      <c r="T24" s="69">
        <v>0.35799999999999998</v>
      </c>
      <c r="U24" s="69">
        <v>0</v>
      </c>
      <c r="V24" s="69">
        <v>5.1999999999999998E-2</v>
      </c>
      <c r="W24" s="71">
        <v>9.4733333000000003E-2</v>
      </c>
      <c r="X24" s="71">
        <v>3.5701069000000002E-2</v>
      </c>
      <c r="Y24" s="69">
        <v>15</v>
      </c>
      <c r="Z24" s="71">
        <v>2.3683333329999998</v>
      </c>
      <c r="AA24" s="71">
        <v>0.89252673299999996</v>
      </c>
    </row>
    <row r="25" spans="1:27">
      <c r="A25" s="72">
        <v>41122</v>
      </c>
      <c r="B25" t="s">
        <v>387</v>
      </c>
      <c r="C25" s="69" t="s">
        <v>388</v>
      </c>
      <c r="D25" s="69" t="s">
        <v>400</v>
      </c>
      <c r="E25" s="69" t="s">
        <v>401</v>
      </c>
      <c r="F25" s="69" t="s">
        <v>404</v>
      </c>
      <c r="G25" s="73" t="str">
        <f t="shared" si="0"/>
        <v>old above</v>
      </c>
      <c r="H25" s="69">
        <v>2.7749999999999999</v>
      </c>
      <c r="I25" s="69">
        <v>0.42199999999999999</v>
      </c>
      <c r="J25" s="69">
        <v>0</v>
      </c>
      <c r="K25" s="69">
        <v>0</v>
      </c>
      <c r="L25" s="69">
        <v>0</v>
      </c>
      <c r="M25" s="69">
        <v>4.2300000000000004</v>
      </c>
      <c r="N25" s="69">
        <v>3.7829999999999999</v>
      </c>
      <c r="O25" s="69">
        <v>0</v>
      </c>
      <c r="P25" s="69">
        <v>0</v>
      </c>
      <c r="Q25" s="69">
        <v>0</v>
      </c>
      <c r="R25" s="69">
        <v>0</v>
      </c>
      <c r="S25" s="69">
        <v>0.73899999999999999</v>
      </c>
      <c r="T25" s="69">
        <v>7.87</v>
      </c>
      <c r="U25" s="69">
        <v>0</v>
      </c>
      <c r="V25" s="69">
        <v>0.17</v>
      </c>
      <c r="W25" s="71">
        <v>1.3326</v>
      </c>
      <c r="X25" s="71">
        <v>0.60141609699999998</v>
      </c>
      <c r="Y25" s="69">
        <v>15</v>
      </c>
      <c r="Z25" s="71">
        <v>33.314999999999998</v>
      </c>
      <c r="AA25" s="71">
        <v>15.03540243</v>
      </c>
    </row>
    <row r="26" spans="1:27">
      <c r="A26" s="72">
        <v>41122</v>
      </c>
      <c r="B26" t="s">
        <v>387</v>
      </c>
      <c r="C26" s="69" t="s">
        <v>388</v>
      </c>
      <c r="D26" s="69" t="s">
        <v>400</v>
      </c>
      <c r="E26" s="69" t="s">
        <v>401</v>
      </c>
      <c r="F26" s="69" t="s">
        <v>405</v>
      </c>
      <c r="G26" s="73" t="str">
        <f t="shared" si="0"/>
        <v>new above</v>
      </c>
      <c r="H26" s="69">
        <v>0</v>
      </c>
      <c r="I26" s="69">
        <v>0</v>
      </c>
      <c r="J26" s="69">
        <v>0</v>
      </c>
      <c r="K26" s="69">
        <v>0</v>
      </c>
      <c r="L26" s="69">
        <v>0</v>
      </c>
      <c r="M26" s="69">
        <v>0</v>
      </c>
      <c r="N26" s="69">
        <v>0</v>
      </c>
      <c r="O26" s="69">
        <v>0</v>
      </c>
      <c r="P26" s="69">
        <v>0</v>
      </c>
      <c r="Q26" s="69">
        <v>0</v>
      </c>
      <c r="R26" s="69">
        <v>0</v>
      </c>
      <c r="S26" s="69">
        <v>0</v>
      </c>
      <c r="T26" s="69">
        <v>5.0000000000000001E-3</v>
      </c>
      <c r="U26" s="69">
        <v>0</v>
      </c>
      <c r="V26" s="69">
        <v>0</v>
      </c>
      <c r="W26" s="71">
        <v>3.33333E-4</v>
      </c>
      <c r="X26" s="71">
        <v>3.33333E-4</v>
      </c>
      <c r="Y26" s="69">
        <v>15</v>
      </c>
      <c r="Z26" s="71">
        <v>8.3333330000000001E-3</v>
      </c>
      <c r="AA26" s="71">
        <v>8.3333330000000001E-3</v>
      </c>
    </row>
    <row r="27" spans="1:27">
      <c r="A27" s="72">
        <v>41122</v>
      </c>
      <c r="B27" t="s">
        <v>387</v>
      </c>
      <c r="C27" s="69" t="s">
        <v>388</v>
      </c>
      <c r="D27" s="69" t="s">
        <v>400</v>
      </c>
      <c r="E27" s="69" t="s">
        <v>401</v>
      </c>
      <c r="F27" s="69" t="s">
        <v>406</v>
      </c>
      <c r="G27" s="73" t="str">
        <f t="shared" si="0"/>
        <v>below</v>
      </c>
      <c r="H27" s="69">
        <v>11.682</v>
      </c>
      <c r="I27" s="69">
        <v>0.629</v>
      </c>
      <c r="J27" s="69">
        <v>0</v>
      </c>
      <c r="K27" s="69">
        <v>0</v>
      </c>
      <c r="L27" s="69">
        <v>0</v>
      </c>
      <c r="M27" s="69">
        <v>9.1709999999999994</v>
      </c>
      <c r="N27" s="69">
        <v>13.64</v>
      </c>
      <c r="O27" s="69">
        <v>0</v>
      </c>
      <c r="P27" s="69">
        <v>17.012</v>
      </c>
      <c r="Q27" s="69">
        <v>0</v>
      </c>
      <c r="R27" s="69">
        <v>0</v>
      </c>
      <c r="S27" s="69">
        <v>0.91100000000000003</v>
      </c>
      <c r="T27" s="69">
        <v>9.7720000000000002</v>
      </c>
      <c r="U27" s="69">
        <v>5.931</v>
      </c>
      <c r="V27" s="69">
        <v>2.5670000000000002</v>
      </c>
      <c r="W27" s="71">
        <v>4.7543333329999999</v>
      </c>
      <c r="X27" s="71">
        <v>1.536016219</v>
      </c>
      <c r="Y27" s="69">
        <v>15</v>
      </c>
      <c r="Z27" s="71">
        <v>118.8583333</v>
      </c>
      <c r="AA27" s="71">
        <v>38.400405480000003</v>
      </c>
    </row>
    <row r="28" spans="1:27">
      <c r="A28" s="72">
        <v>41122</v>
      </c>
      <c r="B28" t="s">
        <v>387</v>
      </c>
      <c r="C28" s="69" t="s">
        <v>388</v>
      </c>
      <c r="D28" s="69" t="s">
        <v>400</v>
      </c>
      <c r="E28" s="69" t="s">
        <v>407</v>
      </c>
      <c r="F28" s="69" t="s">
        <v>402</v>
      </c>
      <c r="G28" s="73" t="str">
        <f t="shared" si="0"/>
        <v>new above</v>
      </c>
      <c r="H28" s="69">
        <v>0</v>
      </c>
      <c r="I28" s="69">
        <v>0</v>
      </c>
      <c r="J28" s="69">
        <v>0</v>
      </c>
      <c r="K28" s="69">
        <v>0</v>
      </c>
      <c r="L28" s="69">
        <v>0</v>
      </c>
      <c r="M28" s="69">
        <v>0</v>
      </c>
      <c r="N28" s="69">
        <v>0</v>
      </c>
      <c r="O28" s="69">
        <v>0</v>
      </c>
      <c r="P28" s="69">
        <v>0</v>
      </c>
      <c r="Q28" s="69">
        <v>0</v>
      </c>
      <c r="R28" s="69">
        <v>0</v>
      </c>
      <c r="S28" s="69">
        <v>0</v>
      </c>
      <c r="T28" s="69">
        <v>0</v>
      </c>
      <c r="U28" s="69">
        <v>0</v>
      </c>
      <c r="V28" s="69">
        <v>0</v>
      </c>
      <c r="W28" s="71">
        <v>0</v>
      </c>
      <c r="X28" s="71">
        <v>0</v>
      </c>
      <c r="Y28" s="69">
        <v>15</v>
      </c>
      <c r="Z28" s="71">
        <v>0</v>
      </c>
      <c r="AA28" s="71">
        <v>0</v>
      </c>
    </row>
    <row r="29" spans="1:27">
      <c r="A29" s="72">
        <v>41122</v>
      </c>
      <c r="B29" t="s">
        <v>387</v>
      </c>
      <c r="C29" s="69" t="s">
        <v>388</v>
      </c>
      <c r="D29" s="69" t="s">
        <v>400</v>
      </c>
      <c r="E29" s="69" t="s">
        <v>407</v>
      </c>
      <c r="F29" s="69" t="s">
        <v>403</v>
      </c>
      <c r="G29" s="73" t="str">
        <f t="shared" si="0"/>
        <v>new above</v>
      </c>
      <c r="H29" s="69">
        <v>0</v>
      </c>
      <c r="I29" s="69">
        <v>0</v>
      </c>
      <c r="J29" s="69">
        <v>0</v>
      </c>
      <c r="K29" s="69">
        <v>0</v>
      </c>
      <c r="L29" s="69">
        <v>0</v>
      </c>
      <c r="M29" s="69">
        <v>0</v>
      </c>
      <c r="N29" s="69">
        <v>0</v>
      </c>
      <c r="O29" s="69">
        <v>0</v>
      </c>
      <c r="P29" s="69">
        <v>0</v>
      </c>
      <c r="Q29" s="69">
        <v>0</v>
      </c>
      <c r="R29" s="69">
        <v>0</v>
      </c>
      <c r="S29" s="69">
        <v>0</v>
      </c>
      <c r="T29" s="69">
        <v>0</v>
      </c>
      <c r="U29" s="69">
        <v>0</v>
      </c>
      <c r="V29" s="69">
        <v>0</v>
      </c>
      <c r="W29" s="71">
        <v>0</v>
      </c>
      <c r="X29" s="71">
        <v>0</v>
      </c>
      <c r="Y29" s="69">
        <v>15</v>
      </c>
      <c r="Z29" s="71">
        <v>0</v>
      </c>
      <c r="AA29" s="71">
        <v>0</v>
      </c>
    </row>
    <row r="30" spans="1:27">
      <c r="A30" s="72">
        <v>41122</v>
      </c>
      <c r="B30" t="s">
        <v>387</v>
      </c>
      <c r="C30" s="69" t="s">
        <v>388</v>
      </c>
      <c r="D30" s="69" t="s">
        <v>400</v>
      </c>
      <c r="E30" s="69" t="s">
        <v>407</v>
      </c>
      <c r="F30" s="69" t="s">
        <v>404</v>
      </c>
      <c r="G30" s="73" t="str">
        <f t="shared" si="0"/>
        <v>old above</v>
      </c>
      <c r="H30" s="69">
        <v>0</v>
      </c>
      <c r="I30" s="69">
        <v>0</v>
      </c>
      <c r="J30" s="69">
        <v>0</v>
      </c>
      <c r="K30" s="69">
        <v>0</v>
      </c>
      <c r="L30" s="69">
        <v>0</v>
      </c>
      <c r="M30" s="69">
        <v>0</v>
      </c>
      <c r="N30" s="69">
        <v>0</v>
      </c>
      <c r="O30" s="69">
        <v>0</v>
      </c>
      <c r="P30" s="69">
        <v>0</v>
      </c>
      <c r="Q30" s="69">
        <v>0</v>
      </c>
      <c r="R30" s="69">
        <v>0</v>
      </c>
      <c r="S30" s="69">
        <v>0</v>
      </c>
      <c r="T30" s="69">
        <v>0</v>
      </c>
      <c r="U30" s="69">
        <v>0</v>
      </c>
      <c r="V30" s="69">
        <v>0</v>
      </c>
      <c r="W30" s="71">
        <v>0</v>
      </c>
      <c r="X30" s="71">
        <v>0</v>
      </c>
      <c r="Y30" s="69">
        <v>15</v>
      </c>
      <c r="Z30" s="71">
        <v>0</v>
      </c>
      <c r="AA30" s="71">
        <v>0</v>
      </c>
    </row>
    <row r="31" spans="1:27">
      <c r="A31" s="72">
        <v>41122</v>
      </c>
      <c r="B31" t="s">
        <v>387</v>
      </c>
      <c r="C31" s="69" t="s">
        <v>388</v>
      </c>
      <c r="D31" s="69" t="s">
        <v>400</v>
      </c>
      <c r="E31" s="69" t="s">
        <v>407</v>
      </c>
      <c r="F31" s="69" t="s">
        <v>405</v>
      </c>
      <c r="G31" s="73" t="str">
        <f t="shared" si="0"/>
        <v>new above</v>
      </c>
      <c r="H31" s="69">
        <v>0</v>
      </c>
      <c r="I31" s="69">
        <v>0</v>
      </c>
      <c r="J31" s="69">
        <v>0</v>
      </c>
      <c r="K31" s="69">
        <v>0</v>
      </c>
      <c r="L31" s="69">
        <v>0</v>
      </c>
      <c r="M31" s="69">
        <v>0</v>
      </c>
      <c r="N31" s="69">
        <v>0</v>
      </c>
      <c r="O31" s="69">
        <v>0</v>
      </c>
      <c r="P31" s="69">
        <v>0</v>
      </c>
      <c r="Q31" s="69">
        <v>0</v>
      </c>
      <c r="R31" s="69">
        <v>0</v>
      </c>
      <c r="S31" s="69">
        <v>0</v>
      </c>
      <c r="T31" s="69">
        <v>0</v>
      </c>
      <c r="U31" s="69">
        <v>0</v>
      </c>
      <c r="V31" s="69">
        <v>0</v>
      </c>
      <c r="W31" s="71">
        <v>0</v>
      </c>
      <c r="X31" s="71">
        <v>0</v>
      </c>
      <c r="Y31" s="69">
        <v>15</v>
      </c>
      <c r="Z31" s="71">
        <v>0</v>
      </c>
      <c r="AA31" s="71">
        <v>0</v>
      </c>
    </row>
    <row r="32" spans="1:27">
      <c r="A32" s="72">
        <v>41122</v>
      </c>
      <c r="B32" t="s">
        <v>387</v>
      </c>
      <c r="C32" s="69" t="s">
        <v>388</v>
      </c>
      <c r="D32" s="69" t="s">
        <v>400</v>
      </c>
      <c r="E32" s="69" t="s">
        <v>407</v>
      </c>
      <c r="F32" s="69" t="s">
        <v>406</v>
      </c>
      <c r="G32" s="73" t="str">
        <f t="shared" si="0"/>
        <v>below</v>
      </c>
      <c r="H32" s="69">
        <v>0</v>
      </c>
      <c r="I32" s="69">
        <v>0</v>
      </c>
      <c r="J32" s="69">
        <v>0</v>
      </c>
      <c r="K32" s="69">
        <v>0</v>
      </c>
      <c r="L32" s="69">
        <v>0</v>
      </c>
      <c r="M32" s="69">
        <v>0</v>
      </c>
      <c r="N32" s="69">
        <v>0</v>
      </c>
      <c r="O32" s="69">
        <v>0</v>
      </c>
      <c r="P32" s="69">
        <v>0</v>
      </c>
      <c r="Q32" s="69">
        <v>0</v>
      </c>
      <c r="R32" s="69">
        <v>0.63</v>
      </c>
      <c r="S32" s="69">
        <v>0</v>
      </c>
      <c r="T32" s="69">
        <v>0</v>
      </c>
      <c r="U32" s="69">
        <v>0</v>
      </c>
      <c r="V32" s="69">
        <v>0</v>
      </c>
      <c r="W32" s="71">
        <v>4.2000000000000003E-2</v>
      </c>
      <c r="X32" s="71">
        <v>4.2000000000000003E-2</v>
      </c>
      <c r="Y32" s="69">
        <v>15</v>
      </c>
      <c r="Z32" s="71">
        <v>1.05</v>
      </c>
      <c r="AA32" s="71">
        <v>1.05</v>
      </c>
    </row>
    <row r="33" spans="1:27">
      <c r="A33" s="72">
        <v>41122</v>
      </c>
      <c r="B33" t="s">
        <v>387</v>
      </c>
      <c r="C33" s="69" t="s">
        <v>388</v>
      </c>
      <c r="D33" s="69" t="s">
        <v>400</v>
      </c>
      <c r="E33" s="69" t="s">
        <v>408</v>
      </c>
      <c r="F33" s="69" t="s">
        <v>402</v>
      </c>
      <c r="G33" s="73" t="str">
        <f t="shared" si="0"/>
        <v>new above</v>
      </c>
      <c r="H33" s="69">
        <v>0</v>
      </c>
      <c r="I33" s="69">
        <v>0</v>
      </c>
      <c r="J33" s="69">
        <v>0</v>
      </c>
      <c r="K33" s="69">
        <v>0</v>
      </c>
      <c r="L33" s="69">
        <v>0</v>
      </c>
      <c r="M33" s="69">
        <v>0</v>
      </c>
      <c r="N33" s="69">
        <v>0</v>
      </c>
      <c r="O33" s="69">
        <v>0</v>
      </c>
      <c r="P33" s="69">
        <v>2.1999999999999999E-2</v>
      </c>
      <c r="Q33" s="69">
        <v>8.0000000000000002E-3</v>
      </c>
      <c r="R33" s="69">
        <v>0</v>
      </c>
      <c r="S33" s="69">
        <v>0</v>
      </c>
      <c r="T33" s="69">
        <v>0.14799999999999999</v>
      </c>
      <c r="U33" s="69">
        <v>0.54</v>
      </c>
      <c r="V33" s="69">
        <v>0</v>
      </c>
      <c r="W33" s="71">
        <v>4.7866667000000002E-2</v>
      </c>
      <c r="X33" s="71">
        <v>3.6494209E-2</v>
      </c>
      <c r="Y33" s="69">
        <v>15</v>
      </c>
      <c r="Z33" s="71">
        <v>1.1966666669999999</v>
      </c>
      <c r="AA33" s="71">
        <v>0.91235522899999999</v>
      </c>
    </row>
    <row r="34" spans="1:27">
      <c r="A34" s="72">
        <v>41122</v>
      </c>
      <c r="B34" t="s">
        <v>387</v>
      </c>
      <c r="C34" s="69" t="s">
        <v>388</v>
      </c>
      <c r="D34" s="69" t="s">
        <v>400</v>
      </c>
      <c r="E34" s="69" t="s">
        <v>408</v>
      </c>
      <c r="F34" s="69" t="s">
        <v>403</v>
      </c>
      <c r="G34" s="73" t="str">
        <f t="shared" si="0"/>
        <v>new above</v>
      </c>
      <c r="H34" s="69">
        <v>0</v>
      </c>
      <c r="I34" s="69">
        <v>0</v>
      </c>
      <c r="J34" s="69">
        <v>0</v>
      </c>
      <c r="K34" s="69">
        <v>0</v>
      </c>
      <c r="L34" s="69">
        <v>0</v>
      </c>
      <c r="M34" s="69">
        <v>0</v>
      </c>
      <c r="N34" s="69">
        <v>0</v>
      </c>
      <c r="O34" s="69">
        <v>0</v>
      </c>
      <c r="P34" s="69">
        <v>1.4999999999999999E-2</v>
      </c>
      <c r="Q34" s="69">
        <v>1.7999999999999999E-2</v>
      </c>
      <c r="R34" s="69">
        <v>0</v>
      </c>
      <c r="S34" s="69">
        <v>0</v>
      </c>
      <c r="T34" s="69">
        <v>4.8000000000000001E-2</v>
      </c>
      <c r="U34" s="69">
        <v>0.47399999999999998</v>
      </c>
      <c r="V34" s="69">
        <v>0</v>
      </c>
      <c r="W34" s="71">
        <v>3.6999999999999998E-2</v>
      </c>
      <c r="X34" s="71">
        <v>3.1395632E-2</v>
      </c>
      <c r="Y34" s="69">
        <v>15</v>
      </c>
      <c r="Z34" s="71">
        <v>0.92500000000000004</v>
      </c>
      <c r="AA34" s="71">
        <v>0.78489080200000005</v>
      </c>
    </row>
    <row r="35" spans="1:27">
      <c r="A35" s="72">
        <v>41122</v>
      </c>
      <c r="B35" t="s">
        <v>387</v>
      </c>
      <c r="C35" s="69" t="s">
        <v>388</v>
      </c>
      <c r="D35" s="69" t="s">
        <v>400</v>
      </c>
      <c r="E35" s="69" t="s">
        <v>408</v>
      </c>
      <c r="F35" s="69" t="s">
        <v>404</v>
      </c>
      <c r="G35" s="73" t="str">
        <f t="shared" si="0"/>
        <v>old above</v>
      </c>
      <c r="H35" s="69">
        <v>0</v>
      </c>
      <c r="I35" s="69">
        <v>0</v>
      </c>
      <c r="J35" s="69">
        <v>0</v>
      </c>
      <c r="K35" s="69">
        <v>0</v>
      </c>
      <c r="L35" s="69">
        <v>0</v>
      </c>
      <c r="M35" s="69">
        <v>0</v>
      </c>
      <c r="N35" s="69">
        <v>0</v>
      </c>
      <c r="O35" s="69">
        <v>0</v>
      </c>
      <c r="P35" s="69">
        <v>7.2999999999999995E-2</v>
      </c>
      <c r="Q35" s="69">
        <v>4.3999999999999997E-2</v>
      </c>
      <c r="R35" s="69">
        <v>0</v>
      </c>
      <c r="S35" s="69">
        <v>0</v>
      </c>
      <c r="T35" s="69">
        <v>0.64400000000000002</v>
      </c>
      <c r="U35" s="69">
        <v>1.242</v>
      </c>
      <c r="V35" s="69">
        <v>0</v>
      </c>
      <c r="W35" s="71">
        <v>0.133533333</v>
      </c>
      <c r="X35" s="71">
        <v>8.9896706000000007E-2</v>
      </c>
      <c r="Y35" s="69">
        <v>15</v>
      </c>
      <c r="Z35" s="71">
        <v>3.338333333</v>
      </c>
      <c r="AA35" s="71">
        <v>2.2474176539999999</v>
      </c>
    </row>
    <row r="36" spans="1:27">
      <c r="A36" s="72">
        <v>41122</v>
      </c>
      <c r="B36" t="s">
        <v>387</v>
      </c>
      <c r="C36" s="69" t="s">
        <v>388</v>
      </c>
      <c r="D36" s="69" t="s">
        <v>400</v>
      </c>
      <c r="E36" s="69" t="s">
        <v>408</v>
      </c>
      <c r="F36" s="69" t="s">
        <v>405</v>
      </c>
      <c r="G36" s="73" t="str">
        <f t="shared" si="0"/>
        <v>new above</v>
      </c>
      <c r="H36" s="69">
        <v>0</v>
      </c>
      <c r="I36" s="69">
        <v>0</v>
      </c>
      <c r="J36" s="69">
        <v>0</v>
      </c>
      <c r="K36" s="69">
        <v>0</v>
      </c>
      <c r="L36" s="69">
        <v>0</v>
      </c>
      <c r="M36" s="69">
        <v>0</v>
      </c>
      <c r="N36" s="69">
        <v>0</v>
      </c>
      <c r="O36" s="69">
        <v>0</v>
      </c>
      <c r="P36" s="69">
        <v>0</v>
      </c>
      <c r="Q36" s="69">
        <v>0</v>
      </c>
      <c r="R36" s="69">
        <v>0</v>
      </c>
      <c r="S36" s="69">
        <v>0</v>
      </c>
      <c r="T36" s="69">
        <v>0</v>
      </c>
      <c r="U36" s="69">
        <v>0</v>
      </c>
      <c r="V36" s="69">
        <v>0</v>
      </c>
      <c r="W36" s="71">
        <v>0</v>
      </c>
      <c r="X36" s="71">
        <v>0</v>
      </c>
      <c r="Y36" s="69">
        <v>15</v>
      </c>
      <c r="Z36" s="71">
        <v>0</v>
      </c>
      <c r="AA36" s="71">
        <v>0</v>
      </c>
    </row>
    <row r="37" spans="1:27">
      <c r="A37" s="72">
        <v>41122</v>
      </c>
      <c r="B37" t="s">
        <v>387</v>
      </c>
      <c r="C37" s="69" t="s">
        <v>388</v>
      </c>
      <c r="D37" s="69" t="s">
        <v>400</v>
      </c>
      <c r="E37" s="69" t="s">
        <v>408</v>
      </c>
      <c r="F37" s="69" t="s">
        <v>406</v>
      </c>
      <c r="G37" s="73" t="str">
        <f t="shared" si="0"/>
        <v>below</v>
      </c>
      <c r="H37" s="69">
        <v>0</v>
      </c>
      <c r="I37" s="69">
        <v>0</v>
      </c>
      <c r="J37" s="69">
        <v>0</v>
      </c>
      <c r="K37" s="69">
        <v>0</v>
      </c>
      <c r="L37" s="69">
        <v>0</v>
      </c>
      <c r="M37" s="69">
        <v>0</v>
      </c>
      <c r="N37" s="69">
        <v>0</v>
      </c>
      <c r="O37" s="69">
        <v>0</v>
      </c>
      <c r="P37" s="69">
        <v>1.1579999999999999</v>
      </c>
      <c r="Q37" s="69">
        <v>6.0000000000000001E-3</v>
      </c>
      <c r="R37" s="69">
        <v>0</v>
      </c>
      <c r="S37" s="69">
        <v>0</v>
      </c>
      <c r="T37" s="69">
        <v>1.141</v>
      </c>
      <c r="U37" s="69">
        <v>1.343</v>
      </c>
      <c r="V37" s="69">
        <v>0</v>
      </c>
      <c r="W37" s="71">
        <v>0.2432</v>
      </c>
      <c r="X37" s="71">
        <v>0.13018917399999999</v>
      </c>
      <c r="Y37" s="69">
        <v>15</v>
      </c>
      <c r="Z37" s="71">
        <v>6.08</v>
      </c>
      <c r="AA37" s="71">
        <v>3.2547293430000002</v>
      </c>
    </row>
    <row r="38" spans="1:27">
      <c r="A38" s="72">
        <v>41122</v>
      </c>
      <c r="B38" t="s">
        <v>387</v>
      </c>
      <c r="C38" s="69" t="s">
        <v>388</v>
      </c>
      <c r="D38" s="69" t="s">
        <v>400</v>
      </c>
      <c r="E38" s="69" t="s">
        <v>409</v>
      </c>
      <c r="F38" s="69" t="s">
        <v>402</v>
      </c>
      <c r="G38" s="73" t="str">
        <f t="shared" si="0"/>
        <v>new above</v>
      </c>
      <c r="H38" s="69">
        <v>0</v>
      </c>
      <c r="I38" s="69">
        <v>0</v>
      </c>
      <c r="J38" s="69">
        <v>0</v>
      </c>
      <c r="K38" s="69">
        <v>0</v>
      </c>
      <c r="L38" s="69">
        <v>0</v>
      </c>
      <c r="M38" s="69">
        <v>0</v>
      </c>
      <c r="N38" s="69">
        <v>0</v>
      </c>
      <c r="O38" s="69">
        <v>0</v>
      </c>
      <c r="P38" s="69">
        <v>0</v>
      </c>
      <c r="Q38" s="69">
        <v>0</v>
      </c>
      <c r="R38" s="69">
        <v>0</v>
      </c>
      <c r="S38" s="69">
        <v>0</v>
      </c>
      <c r="T38" s="69">
        <v>0</v>
      </c>
      <c r="U38" s="69">
        <v>0</v>
      </c>
      <c r="V38" s="69">
        <v>0</v>
      </c>
      <c r="W38" s="71">
        <v>0</v>
      </c>
      <c r="X38" s="71">
        <v>0</v>
      </c>
      <c r="Y38" s="69">
        <v>15</v>
      </c>
      <c r="Z38" s="71">
        <v>0</v>
      </c>
      <c r="AA38" s="71">
        <v>0</v>
      </c>
    </row>
    <row r="39" spans="1:27">
      <c r="A39" s="72">
        <v>41122</v>
      </c>
      <c r="B39" t="s">
        <v>387</v>
      </c>
      <c r="C39" s="69" t="s">
        <v>388</v>
      </c>
      <c r="D39" s="69" t="s">
        <v>400</v>
      </c>
      <c r="E39" s="69" t="s">
        <v>409</v>
      </c>
      <c r="F39" s="69" t="s">
        <v>403</v>
      </c>
      <c r="G39" s="73" t="str">
        <f t="shared" si="0"/>
        <v>new above</v>
      </c>
      <c r="H39" s="69">
        <v>0</v>
      </c>
      <c r="I39" s="69">
        <v>0</v>
      </c>
      <c r="J39" s="69">
        <v>0</v>
      </c>
      <c r="K39" s="69">
        <v>0</v>
      </c>
      <c r="L39" s="69">
        <v>0</v>
      </c>
      <c r="M39" s="69">
        <v>0</v>
      </c>
      <c r="N39" s="69">
        <v>0</v>
      </c>
      <c r="O39" s="69">
        <v>0</v>
      </c>
      <c r="P39" s="69">
        <v>0</v>
      </c>
      <c r="Q39" s="69">
        <v>0</v>
      </c>
      <c r="R39" s="69">
        <v>0</v>
      </c>
      <c r="S39" s="69">
        <v>0</v>
      </c>
      <c r="T39" s="69">
        <v>0</v>
      </c>
      <c r="U39" s="69">
        <v>0</v>
      </c>
      <c r="V39" s="69">
        <v>0</v>
      </c>
      <c r="W39" s="71">
        <v>0</v>
      </c>
      <c r="X39" s="71">
        <v>0</v>
      </c>
      <c r="Y39" s="69">
        <v>15</v>
      </c>
      <c r="Z39" s="71">
        <v>0</v>
      </c>
      <c r="AA39" s="71">
        <v>0</v>
      </c>
    </row>
    <row r="40" spans="1:27">
      <c r="A40" s="72">
        <v>41122</v>
      </c>
      <c r="B40" t="s">
        <v>387</v>
      </c>
      <c r="C40" s="69" t="s">
        <v>388</v>
      </c>
      <c r="D40" s="69" t="s">
        <v>400</v>
      </c>
      <c r="E40" s="69" t="s">
        <v>409</v>
      </c>
      <c r="F40" s="69" t="s">
        <v>404</v>
      </c>
      <c r="G40" s="73" t="str">
        <f t="shared" si="0"/>
        <v>old above</v>
      </c>
      <c r="H40" s="69">
        <v>0</v>
      </c>
      <c r="I40" s="69">
        <v>0</v>
      </c>
      <c r="J40" s="69">
        <v>0</v>
      </c>
      <c r="K40" s="69">
        <v>0</v>
      </c>
      <c r="L40" s="69">
        <v>0</v>
      </c>
      <c r="M40" s="69">
        <v>0</v>
      </c>
      <c r="N40" s="69">
        <v>0</v>
      </c>
      <c r="O40" s="69">
        <v>0</v>
      </c>
      <c r="P40" s="69">
        <v>0</v>
      </c>
      <c r="Q40" s="69">
        <v>0</v>
      </c>
      <c r="R40" s="69">
        <v>0</v>
      </c>
      <c r="S40" s="69">
        <v>0</v>
      </c>
      <c r="T40" s="69">
        <v>0</v>
      </c>
      <c r="U40" s="69">
        <v>0</v>
      </c>
      <c r="V40" s="69">
        <v>0</v>
      </c>
      <c r="W40" s="71">
        <v>0</v>
      </c>
      <c r="X40" s="71">
        <v>0</v>
      </c>
      <c r="Y40" s="69">
        <v>15</v>
      </c>
      <c r="Z40" s="71">
        <v>0</v>
      </c>
      <c r="AA40" s="71">
        <v>0</v>
      </c>
    </row>
    <row r="41" spans="1:27">
      <c r="A41" s="72">
        <v>41122</v>
      </c>
      <c r="B41" t="s">
        <v>387</v>
      </c>
      <c r="C41" s="69" t="s">
        <v>388</v>
      </c>
      <c r="D41" s="69" t="s">
        <v>400</v>
      </c>
      <c r="E41" s="69" t="s">
        <v>409</v>
      </c>
      <c r="F41" s="69" t="s">
        <v>405</v>
      </c>
      <c r="G41" s="73" t="str">
        <f t="shared" si="0"/>
        <v>new above</v>
      </c>
      <c r="H41" s="69">
        <v>0</v>
      </c>
      <c r="I41" s="69">
        <v>0</v>
      </c>
      <c r="J41" s="69">
        <v>0</v>
      </c>
      <c r="K41" s="69">
        <v>0</v>
      </c>
      <c r="L41" s="69">
        <v>0</v>
      </c>
      <c r="M41" s="69">
        <v>0</v>
      </c>
      <c r="N41" s="69">
        <v>0</v>
      </c>
      <c r="O41" s="69">
        <v>0</v>
      </c>
      <c r="P41" s="69">
        <v>0</v>
      </c>
      <c r="Q41" s="69">
        <v>0</v>
      </c>
      <c r="R41" s="69">
        <v>0</v>
      </c>
      <c r="S41" s="69">
        <v>0</v>
      </c>
      <c r="T41" s="69">
        <v>0</v>
      </c>
      <c r="U41" s="69">
        <v>0</v>
      </c>
      <c r="V41" s="69">
        <v>0</v>
      </c>
      <c r="W41" s="71">
        <v>0</v>
      </c>
      <c r="X41" s="71">
        <v>0</v>
      </c>
      <c r="Y41" s="69">
        <v>15</v>
      </c>
      <c r="Z41" s="71">
        <v>0</v>
      </c>
      <c r="AA41" s="71">
        <v>0</v>
      </c>
    </row>
    <row r="42" spans="1:27">
      <c r="A42" s="72">
        <v>41122</v>
      </c>
      <c r="B42" t="s">
        <v>387</v>
      </c>
      <c r="C42" s="69" t="s">
        <v>388</v>
      </c>
      <c r="D42" s="69" t="s">
        <v>400</v>
      </c>
      <c r="E42" s="69" t="s">
        <v>409</v>
      </c>
      <c r="F42" s="69" t="s">
        <v>406</v>
      </c>
      <c r="G42" s="73" t="str">
        <f t="shared" si="0"/>
        <v>below</v>
      </c>
      <c r="H42" s="69">
        <v>0</v>
      </c>
      <c r="I42" s="69">
        <v>0</v>
      </c>
      <c r="J42" s="69">
        <v>0</v>
      </c>
      <c r="K42" s="69">
        <v>0</v>
      </c>
      <c r="L42" s="69">
        <v>0</v>
      </c>
      <c r="M42" s="69">
        <v>0</v>
      </c>
      <c r="N42" s="69">
        <v>0</v>
      </c>
      <c r="O42" s="69">
        <v>0</v>
      </c>
      <c r="P42" s="69">
        <v>0</v>
      </c>
      <c r="Q42" s="69">
        <v>0</v>
      </c>
      <c r="R42" s="69">
        <v>0</v>
      </c>
      <c r="S42" s="69">
        <v>0</v>
      </c>
      <c r="T42" s="69">
        <v>0</v>
      </c>
      <c r="U42" s="69">
        <v>0</v>
      </c>
      <c r="V42" s="69">
        <v>0</v>
      </c>
      <c r="W42" s="71">
        <v>0</v>
      </c>
      <c r="X42" s="71">
        <v>0</v>
      </c>
      <c r="Y42" s="69">
        <v>15</v>
      </c>
      <c r="Z42" s="71">
        <v>0</v>
      </c>
      <c r="AA42" s="71">
        <v>0</v>
      </c>
    </row>
    <row r="43" spans="1:27">
      <c r="A43" s="72">
        <v>41122</v>
      </c>
      <c r="B43" t="s">
        <v>387</v>
      </c>
      <c r="C43" s="69" t="s">
        <v>388</v>
      </c>
      <c r="D43" s="69" t="s">
        <v>400</v>
      </c>
      <c r="E43" s="69" t="s">
        <v>410</v>
      </c>
      <c r="F43" s="69" t="s">
        <v>402</v>
      </c>
      <c r="G43" s="73" t="str">
        <f t="shared" si="0"/>
        <v>new above</v>
      </c>
      <c r="H43" s="69">
        <v>0</v>
      </c>
      <c r="I43" s="69">
        <v>0</v>
      </c>
      <c r="J43" s="69">
        <v>0.105</v>
      </c>
      <c r="K43" s="69">
        <v>0</v>
      </c>
      <c r="L43" s="69">
        <v>0</v>
      </c>
      <c r="M43" s="69">
        <v>0</v>
      </c>
      <c r="N43" s="69">
        <v>0</v>
      </c>
      <c r="O43" s="69">
        <v>0</v>
      </c>
      <c r="P43" s="69">
        <v>0</v>
      </c>
      <c r="Q43" s="69">
        <v>0</v>
      </c>
      <c r="R43" s="69">
        <v>0</v>
      </c>
      <c r="S43" s="69">
        <v>0</v>
      </c>
      <c r="T43" s="69">
        <v>0</v>
      </c>
      <c r="U43" s="69">
        <v>0</v>
      </c>
      <c r="V43" s="69">
        <v>0</v>
      </c>
      <c r="W43" s="71">
        <v>7.0000000000000001E-3</v>
      </c>
      <c r="X43" s="71">
        <v>7.0000000000000001E-3</v>
      </c>
      <c r="Y43" s="69">
        <v>15</v>
      </c>
      <c r="Z43" s="71">
        <v>0.17499999999999999</v>
      </c>
      <c r="AA43" s="71">
        <v>0.17499999999999999</v>
      </c>
    </row>
    <row r="44" spans="1:27">
      <c r="A44" s="72">
        <v>41122</v>
      </c>
      <c r="B44" t="s">
        <v>387</v>
      </c>
      <c r="C44" s="69" t="s">
        <v>388</v>
      </c>
      <c r="D44" s="69" t="s">
        <v>400</v>
      </c>
      <c r="E44" s="69" t="s">
        <v>410</v>
      </c>
      <c r="F44" s="69" t="s">
        <v>403</v>
      </c>
      <c r="G44" s="73" t="str">
        <f t="shared" si="0"/>
        <v>new above</v>
      </c>
      <c r="H44" s="69">
        <v>0</v>
      </c>
      <c r="I44" s="69">
        <v>0</v>
      </c>
      <c r="J44" s="69">
        <v>2.8000000000000001E-2</v>
      </c>
      <c r="K44" s="69">
        <v>0</v>
      </c>
      <c r="L44" s="69">
        <v>0</v>
      </c>
      <c r="M44" s="69">
        <v>0</v>
      </c>
      <c r="N44" s="69">
        <v>0</v>
      </c>
      <c r="O44" s="69">
        <v>0</v>
      </c>
      <c r="P44" s="69">
        <v>0</v>
      </c>
      <c r="Q44" s="69">
        <v>0</v>
      </c>
      <c r="R44" s="69">
        <v>0</v>
      </c>
      <c r="S44" s="69">
        <v>0</v>
      </c>
      <c r="T44" s="69">
        <v>0</v>
      </c>
      <c r="U44" s="69">
        <v>0</v>
      </c>
      <c r="V44" s="69">
        <v>0</v>
      </c>
      <c r="W44" s="71">
        <v>1.866667E-3</v>
      </c>
      <c r="X44" s="71">
        <v>1.866667E-3</v>
      </c>
      <c r="Y44" s="69">
        <v>15</v>
      </c>
      <c r="Z44" s="71">
        <v>4.6666667000000002E-2</v>
      </c>
      <c r="AA44" s="71">
        <v>4.6666667000000002E-2</v>
      </c>
    </row>
    <row r="45" spans="1:27">
      <c r="A45" s="72">
        <v>41122</v>
      </c>
      <c r="B45" t="s">
        <v>387</v>
      </c>
      <c r="C45" s="69" t="s">
        <v>388</v>
      </c>
      <c r="D45" s="69" t="s">
        <v>400</v>
      </c>
      <c r="E45" s="69" t="s">
        <v>410</v>
      </c>
      <c r="F45" s="69" t="s">
        <v>404</v>
      </c>
      <c r="G45" s="73" t="str">
        <f t="shared" si="0"/>
        <v>old above</v>
      </c>
      <c r="H45" s="69">
        <v>0</v>
      </c>
      <c r="I45" s="69">
        <v>0</v>
      </c>
      <c r="J45" s="69">
        <v>6.5000000000000002E-2</v>
      </c>
      <c r="K45" s="69">
        <v>0</v>
      </c>
      <c r="L45" s="69">
        <v>0</v>
      </c>
      <c r="M45" s="69">
        <v>0</v>
      </c>
      <c r="N45" s="69">
        <v>0</v>
      </c>
      <c r="O45" s="69">
        <v>0</v>
      </c>
      <c r="P45" s="69">
        <v>0</v>
      </c>
      <c r="Q45" s="69">
        <v>0</v>
      </c>
      <c r="R45" s="69">
        <v>0</v>
      </c>
      <c r="S45" s="69">
        <v>0</v>
      </c>
      <c r="T45" s="69">
        <v>0</v>
      </c>
      <c r="U45" s="69">
        <v>0</v>
      </c>
      <c r="V45" s="69">
        <v>0</v>
      </c>
      <c r="W45" s="71">
        <v>4.333333E-3</v>
      </c>
      <c r="X45" s="71">
        <v>4.333333E-3</v>
      </c>
      <c r="Y45" s="69">
        <v>15</v>
      </c>
      <c r="Z45" s="71">
        <v>0.108333333</v>
      </c>
      <c r="AA45" s="71">
        <v>0.108333333</v>
      </c>
    </row>
    <row r="46" spans="1:27">
      <c r="A46" s="72">
        <v>41122</v>
      </c>
      <c r="B46" t="s">
        <v>387</v>
      </c>
      <c r="C46" s="69" t="s">
        <v>388</v>
      </c>
      <c r="D46" s="69" t="s">
        <v>400</v>
      </c>
      <c r="E46" s="69" t="s">
        <v>410</v>
      </c>
      <c r="F46" s="69" t="s">
        <v>405</v>
      </c>
      <c r="G46" s="73" t="str">
        <f t="shared" si="0"/>
        <v>new above</v>
      </c>
      <c r="H46" s="69">
        <v>0</v>
      </c>
      <c r="I46" s="69">
        <v>0</v>
      </c>
      <c r="J46" s="69">
        <v>0</v>
      </c>
      <c r="K46" s="69">
        <v>0</v>
      </c>
      <c r="L46" s="69">
        <v>0</v>
      </c>
      <c r="M46" s="69">
        <v>0</v>
      </c>
      <c r="N46" s="69">
        <v>0</v>
      </c>
      <c r="O46" s="69">
        <v>0</v>
      </c>
      <c r="P46" s="69">
        <v>0</v>
      </c>
      <c r="Q46" s="69">
        <v>0</v>
      </c>
      <c r="R46" s="69">
        <v>0</v>
      </c>
      <c r="S46" s="69">
        <v>0</v>
      </c>
      <c r="T46" s="69">
        <v>0</v>
      </c>
      <c r="U46" s="69">
        <v>0</v>
      </c>
      <c r="V46" s="69">
        <v>0</v>
      </c>
      <c r="W46" s="71">
        <v>0</v>
      </c>
      <c r="X46" s="71">
        <v>0</v>
      </c>
      <c r="Y46" s="69">
        <v>15</v>
      </c>
      <c r="Z46" s="71">
        <v>0</v>
      </c>
      <c r="AA46" s="71">
        <v>0</v>
      </c>
    </row>
    <row r="47" spans="1:27">
      <c r="A47" s="72">
        <v>41122</v>
      </c>
      <c r="B47" t="s">
        <v>387</v>
      </c>
      <c r="C47" s="69" t="s">
        <v>388</v>
      </c>
      <c r="D47" s="69" t="s">
        <v>400</v>
      </c>
      <c r="E47" s="69" t="s">
        <v>410</v>
      </c>
      <c r="F47" s="69" t="s">
        <v>406</v>
      </c>
      <c r="G47" s="73" t="str">
        <f t="shared" si="0"/>
        <v>below</v>
      </c>
      <c r="H47" s="69">
        <v>0</v>
      </c>
      <c r="I47" s="69">
        <v>0</v>
      </c>
      <c r="J47" s="69">
        <v>0</v>
      </c>
      <c r="K47" s="69">
        <v>0</v>
      </c>
      <c r="L47" s="69">
        <v>0</v>
      </c>
      <c r="M47" s="69">
        <v>0</v>
      </c>
      <c r="N47" s="69">
        <v>0</v>
      </c>
      <c r="O47" s="69">
        <v>0</v>
      </c>
      <c r="P47" s="69">
        <v>0</v>
      </c>
      <c r="Q47" s="69">
        <v>0</v>
      </c>
      <c r="R47" s="69">
        <v>0</v>
      </c>
      <c r="S47" s="69">
        <v>0</v>
      </c>
      <c r="T47" s="69">
        <v>0</v>
      </c>
      <c r="U47" s="69">
        <v>0</v>
      </c>
      <c r="V47" s="69">
        <v>0</v>
      </c>
      <c r="W47" s="71">
        <v>0</v>
      </c>
      <c r="X47" s="71">
        <v>0</v>
      </c>
      <c r="Y47" s="69">
        <v>15</v>
      </c>
      <c r="Z47" s="71">
        <v>0</v>
      </c>
      <c r="AA47" s="71">
        <v>0</v>
      </c>
    </row>
    <row r="48" spans="1:27">
      <c r="A48" s="72">
        <v>41122</v>
      </c>
      <c r="B48" t="s">
        <v>387</v>
      </c>
      <c r="C48" s="69" t="s">
        <v>388</v>
      </c>
      <c r="D48" s="69" t="s">
        <v>411</v>
      </c>
      <c r="E48" s="69" t="s">
        <v>412</v>
      </c>
      <c r="F48" s="69" t="s">
        <v>402</v>
      </c>
      <c r="G48" s="73" t="str">
        <f t="shared" si="0"/>
        <v>new above</v>
      </c>
      <c r="H48" s="69">
        <v>1.278</v>
      </c>
      <c r="I48" s="69">
        <v>0.65300000000000002</v>
      </c>
      <c r="J48" s="69">
        <v>0.192</v>
      </c>
      <c r="K48" s="69">
        <v>0.83599999999999997</v>
      </c>
      <c r="L48" s="69">
        <v>0.379</v>
      </c>
      <c r="M48" s="69">
        <v>1.38</v>
      </c>
      <c r="N48" s="69">
        <v>1.351</v>
      </c>
      <c r="O48" s="69">
        <v>1.119</v>
      </c>
      <c r="P48" s="69">
        <v>2.677</v>
      </c>
      <c r="Q48" s="69">
        <v>4.4999999999999998E-2</v>
      </c>
      <c r="R48" s="69">
        <v>0.22500000000000001</v>
      </c>
      <c r="S48" s="69">
        <v>0.43099999999999999</v>
      </c>
      <c r="T48" s="69">
        <v>0.626</v>
      </c>
      <c r="U48" s="69">
        <v>1.2999999999999999E-2</v>
      </c>
      <c r="V48" s="69">
        <v>0.36199999999999999</v>
      </c>
      <c r="W48" s="71">
        <v>0.77113333299999998</v>
      </c>
      <c r="X48" s="71">
        <v>0.18164572700000001</v>
      </c>
      <c r="Y48" s="69">
        <v>15</v>
      </c>
      <c r="Z48" s="71">
        <v>19.278333329999999</v>
      </c>
      <c r="AA48" s="71">
        <v>4.5411431760000003</v>
      </c>
    </row>
    <row r="49" spans="1:27">
      <c r="A49" s="72">
        <v>41122</v>
      </c>
      <c r="B49" t="s">
        <v>387</v>
      </c>
      <c r="C49" s="69" t="s">
        <v>388</v>
      </c>
      <c r="D49" s="69" t="s">
        <v>411</v>
      </c>
      <c r="E49" s="69" t="s">
        <v>412</v>
      </c>
      <c r="F49" s="69" t="s">
        <v>403</v>
      </c>
      <c r="G49" s="73" t="str">
        <f t="shared" si="0"/>
        <v>new above</v>
      </c>
      <c r="H49" s="69">
        <v>0.39500000000000002</v>
      </c>
      <c r="I49" s="69">
        <v>0.19400000000000001</v>
      </c>
      <c r="J49" s="69">
        <v>4.2000000000000003E-2</v>
      </c>
      <c r="K49" s="69">
        <v>0.14199999999999999</v>
      </c>
      <c r="L49" s="69">
        <v>8.5000000000000006E-2</v>
      </c>
      <c r="M49" s="69">
        <v>0.28899999999999998</v>
      </c>
      <c r="N49" s="69">
        <v>0.317</v>
      </c>
      <c r="O49" s="69">
        <v>0.29499999999999998</v>
      </c>
      <c r="P49" s="69">
        <v>0.40100000000000002</v>
      </c>
      <c r="Q49" s="69">
        <v>1.2999999999999999E-2</v>
      </c>
      <c r="R49" s="69">
        <v>6.0999999999999999E-2</v>
      </c>
      <c r="S49" s="69">
        <v>0.13500000000000001</v>
      </c>
      <c r="T49" s="69">
        <v>0.155</v>
      </c>
      <c r="U49" s="69">
        <v>2E-3</v>
      </c>
      <c r="V49" s="69">
        <v>9.0999999999999998E-2</v>
      </c>
      <c r="W49" s="71">
        <v>0.17446666699999999</v>
      </c>
      <c r="X49" s="71">
        <v>3.4675072000000001E-2</v>
      </c>
      <c r="Y49" s="69">
        <v>15</v>
      </c>
      <c r="Z49" s="71">
        <v>4.3616666669999997</v>
      </c>
      <c r="AA49" s="71">
        <v>0.86687680600000006</v>
      </c>
    </row>
    <row r="50" spans="1:27">
      <c r="A50" s="72">
        <v>41122</v>
      </c>
      <c r="B50" t="s">
        <v>387</v>
      </c>
      <c r="C50" s="69" t="s">
        <v>388</v>
      </c>
      <c r="D50" s="69" t="s">
        <v>411</v>
      </c>
      <c r="E50" s="69" t="s">
        <v>412</v>
      </c>
      <c r="F50" s="69" t="s">
        <v>413</v>
      </c>
      <c r="G50" s="73" t="str">
        <f t="shared" si="0"/>
        <v>old above</v>
      </c>
      <c r="H50" s="69">
        <v>1.103</v>
      </c>
      <c r="I50" s="69">
        <v>0.46700000000000003</v>
      </c>
      <c r="J50" s="69">
        <v>0.123</v>
      </c>
      <c r="K50" s="69">
        <v>0.57299999999999995</v>
      </c>
      <c r="L50" s="69">
        <v>0.65300000000000002</v>
      </c>
      <c r="M50" s="69">
        <v>0.91700000000000004</v>
      </c>
      <c r="N50" s="69">
        <v>1.77</v>
      </c>
      <c r="O50" s="69">
        <v>0.61299999999999999</v>
      </c>
      <c r="P50" s="69">
        <v>1.623</v>
      </c>
      <c r="Q50" s="69">
        <v>0.16600000000000001</v>
      </c>
      <c r="R50" s="69">
        <v>5.3999999999999999E-2</v>
      </c>
      <c r="S50" s="69">
        <v>0.39700000000000002</v>
      </c>
      <c r="T50" s="69">
        <v>9.0999999999999998E-2</v>
      </c>
      <c r="U50" s="69">
        <v>0</v>
      </c>
      <c r="V50" s="69">
        <v>0.71799999999999997</v>
      </c>
      <c r="W50" s="71">
        <v>0.61786666700000004</v>
      </c>
      <c r="X50" s="71">
        <v>0.140978717</v>
      </c>
      <c r="Y50" s="69">
        <v>15</v>
      </c>
      <c r="Z50" s="71">
        <v>15.446666670000001</v>
      </c>
      <c r="AA50" s="71">
        <v>3.5244679319999999</v>
      </c>
    </row>
    <row r="51" spans="1:27">
      <c r="A51" s="72">
        <v>41122</v>
      </c>
      <c r="B51" t="s">
        <v>387</v>
      </c>
      <c r="C51" s="69" t="s">
        <v>388</v>
      </c>
      <c r="D51" s="69" t="s">
        <v>411</v>
      </c>
      <c r="E51" s="69" t="s">
        <v>412</v>
      </c>
      <c r="F51" s="69" t="s">
        <v>404</v>
      </c>
      <c r="G51" s="73" t="str">
        <f t="shared" si="0"/>
        <v>old above</v>
      </c>
      <c r="H51" s="69">
        <v>3.2719999999999998</v>
      </c>
      <c r="I51" s="69">
        <v>4.7809999999999997</v>
      </c>
      <c r="J51" s="69">
        <v>0.255</v>
      </c>
      <c r="K51" s="69">
        <v>1.417</v>
      </c>
      <c r="L51" s="69">
        <v>1.7789999999999999</v>
      </c>
      <c r="M51" s="69">
        <v>4.28</v>
      </c>
      <c r="N51" s="69">
        <v>6.3360000000000003</v>
      </c>
      <c r="O51" s="69">
        <v>1.85</v>
      </c>
      <c r="P51" s="69">
        <v>6.5670000000000002</v>
      </c>
      <c r="Q51" s="69">
        <v>3.5000000000000003E-2</v>
      </c>
      <c r="R51" s="69">
        <v>0.83699999999999997</v>
      </c>
      <c r="S51" s="69">
        <v>5.2450000000000001</v>
      </c>
      <c r="T51" s="69">
        <v>3.3410000000000002</v>
      </c>
      <c r="U51" s="69">
        <v>0</v>
      </c>
      <c r="V51" s="69">
        <v>1.1659999999999999</v>
      </c>
      <c r="W51" s="71">
        <v>2.7440666669999998</v>
      </c>
      <c r="X51" s="71">
        <v>0.58390358399999998</v>
      </c>
      <c r="Y51" s="69">
        <v>15</v>
      </c>
      <c r="Z51" s="71">
        <v>68.60166667</v>
      </c>
      <c r="AA51" s="71">
        <v>14.59758959</v>
      </c>
    </row>
    <row r="52" spans="1:27">
      <c r="A52" s="72">
        <v>41122</v>
      </c>
      <c r="B52" t="s">
        <v>387</v>
      </c>
      <c r="C52" s="69" t="s">
        <v>388</v>
      </c>
      <c r="D52" s="69" t="s">
        <v>411</v>
      </c>
      <c r="E52" s="69" t="s">
        <v>412</v>
      </c>
      <c r="F52" s="69" t="s">
        <v>405</v>
      </c>
      <c r="G52" s="73" t="str">
        <f t="shared" si="0"/>
        <v>new above</v>
      </c>
      <c r="H52" s="69">
        <v>0.25900000000000001</v>
      </c>
      <c r="I52" s="69">
        <v>8.9999999999999993E-3</v>
      </c>
      <c r="J52" s="69">
        <v>0</v>
      </c>
      <c r="K52" s="69">
        <v>7.2999999999999995E-2</v>
      </c>
      <c r="L52" s="69">
        <v>0</v>
      </c>
      <c r="M52" s="69">
        <v>0.10100000000000001</v>
      </c>
      <c r="N52" s="69">
        <v>3.5000000000000003E-2</v>
      </c>
      <c r="O52" s="69">
        <v>0.216</v>
      </c>
      <c r="P52" s="69">
        <v>0.214</v>
      </c>
      <c r="Q52" s="69">
        <v>0</v>
      </c>
      <c r="R52" s="69">
        <v>0</v>
      </c>
      <c r="S52" s="69">
        <v>0</v>
      </c>
      <c r="T52" s="69">
        <v>0</v>
      </c>
      <c r="U52" s="69">
        <v>0</v>
      </c>
      <c r="V52" s="69">
        <v>0</v>
      </c>
      <c r="W52" s="71">
        <v>6.0466667000000002E-2</v>
      </c>
      <c r="X52" s="71">
        <v>2.4056059000000001E-2</v>
      </c>
      <c r="Y52" s="69">
        <v>15</v>
      </c>
      <c r="Z52" s="71">
        <v>1.5116666670000001</v>
      </c>
      <c r="AA52" s="71">
        <v>0.60140147200000005</v>
      </c>
    </row>
    <row r="53" spans="1:27">
      <c r="A53" s="72">
        <v>41122</v>
      </c>
      <c r="B53" t="s">
        <v>387</v>
      </c>
      <c r="C53" s="69" t="s">
        <v>388</v>
      </c>
      <c r="D53" s="69" t="s">
        <v>411</v>
      </c>
      <c r="E53" s="69" t="s">
        <v>412</v>
      </c>
      <c r="F53" s="69" t="s">
        <v>406</v>
      </c>
      <c r="G53" s="73" t="str">
        <f t="shared" si="0"/>
        <v>below</v>
      </c>
      <c r="H53" s="69">
        <v>12.686999999999999</v>
      </c>
      <c r="I53" s="69">
        <v>6.0110000000000001</v>
      </c>
      <c r="J53" s="69">
        <v>0.23799999999999999</v>
      </c>
      <c r="K53" s="69">
        <v>10.804</v>
      </c>
      <c r="L53" s="69">
        <v>0</v>
      </c>
      <c r="M53" s="69">
        <v>6.0039999999999996</v>
      </c>
      <c r="N53" s="69">
        <v>26.390999999999998</v>
      </c>
      <c r="O53" s="69">
        <v>22.451000000000001</v>
      </c>
      <c r="P53" s="69">
        <v>30.37</v>
      </c>
      <c r="Q53" s="69">
        <v>0</v>
      </c>
      <c r="R53" s="69">
        <v>3.4990000000000001</v>
      </c>
      <c r="S53" s="69">
        <v>5.0759999999999996</v>
      </c>
      <c r="T53" s="69">
        <v>12.882999999999999</v>
      </c>
      <c r="U53" s="69">
        <v>0</v>
      </c>
      <c r="V53" s="69">
        <v>3.895</v>
      </c>
      <c r="W53" s="71">
        <v>9.3539333330000005</v>
      </c>
      <c r="X53" s="71">
        <v>2.5630179449999999</v>
      </c>
      <c r="Y53" s="69">
        <v>15</v>
      </c>
      <c r="Z53" s="71">
        <v>233.84833330000001</v>
      </c>
      <c r="AA53" s="71">
        <v>64.075448620000003</v>
      </c>
    </row>
    <row r="54" spans="1:27">
      <c r="A54" s="72">
        <v>41122</v>
      </c>
      <c r="B54" t="s">
        <v>387</v>
      </c>
      <c r="C54" s="69" t="s">
        <v>388</v>
      </c>
      <c r="D54" s="69" t="s">
        <v>411</v>
      </c>
      <c r="E54" s="69" t="s">
        <v>414</v>
      </c>
      <c r="F54" s="69" t="s">
        <v>402</v>
      </c>
      <c r="G54" s="73" t="str">
        <f t="shared" si="0"/>
        <v>new above</v>
      </c>
      <c r="H54" s="69">
        <v>0.69199999999999995</v>
      </c>
      <c r="I54" s="69">
        <v>0.58499999999999996</v>
      </c>
      <c r="J54" s="69">
        <v>0.54500000000000004</v>
      </c>
      <c r="K54" s="69">
        <v>0.379</v>
      </c>
      <c r="L54" s="69">
        <v>9.7000000000000003E-2</v>
      </c>
      <c r="M54" s="69">
        <v>1.212</v>
      </c>
      <c r="N54" s="69">
        <v>0.377</v>
      </c>
      <c r="O54" s="69">
        <v>0.60299999999999998</v>
      </c>
      <c r="P54" s="69">
        <v>0.22500000000000001</v>
      </c>
      <c r="Q54" s="69">
        <v>0.16800000000000001</v>
      </c>
      <c r="R54" s="69">
        <v>0.11899999999999999</v>
      </c>
      <c r="S54" s="69">
        <v>0.222</v>
      </c>
      <c r="T54" s="69">
        <v>0.26400000000000001</v>
      </c>
      <c r="U54" s="69">
        <v>0.67700000000000005</v>
      </c>
      <c r="V54" s="69">
        <v>1.29</v>
      </c>
      <c r="W54" s="71">
        <v>0.497</v>
      </c>
      <c r="X54" s="71">
        <v>9.4494393999999995E-2</v>
      </c>
      <c r="Y54" s="69">
        <v>15</v>
      </c>
      <c r="Z54" s="71">
        <v>12.425000000000001</v>
      </c>
      <c r="AA54" s="71">
        <v>2.362359847</v>
      </c>
    </row>
    <row r="55" spans="1:27">
      <c r="A55" s="72">
        <v>41122</v>
      </c>
      <c r="B55" t="s">
        <v>387</v>
      </c>
      <c r="C55" s="69" t="s">
        <v>388</v>
      </c>
      <c r="D55" s="69" t="s">
        <v>411</v>
      </c>
      <c r="E55" s="69" t="s">
        <v>414</v>
      </c>
      <c r="F55" s="69" t="s">
        <v>403</v>
      </c>
      <c r="G55" s="73" t="str">
        <f t="shared" si="0"/>
        <v>new above</v>
      </c>
      <c r="H55" s="69">
        <v>0.19</v>
      </c>
      <c r="I55" s="69">
        <v>0.115</v>
      </c>
      <c r="J55" s="69">
        <v>0.05</v>
      </c>
      <c r="K55" s="69">
        <v>3.9E-2</v>
      </c>
      <c r="L55" s="69">
        <v>2.5000000000000001E-2</v>
      </c>
      <c r="M55" s="69">
        <v>0.14299999999999999</v>
      </c>
      <c r="N55" s="69">
        <v>5.7000000000000002E-2</v>
      </c>
      <c r="O55" s="69">
        <v>0.107</v>
      </c>
      <c r="P55" s="69">
        <v>2.7E-2</v>
      </c>
      <c r="Q55" s="69">
        <v>5.8999999999999997E-2</v>
      </c>
      <c r="R55" s="69">
        <v>2.7E-2</v>
      </c>
      <c r="S55" s="69">
        <v>3.6999999999999998E-2</v>
      </c>
      <c r="T55" s="69">
        <v>3.2000000000000001E-2</v>
      </c>
      <c r="U55" s="69">
        <v>0.16800000000000001</v>
      </c>
      <c r="V55" s="69">
        <v>0.25900000000000001</v>
      </c>
      <c r="W55" s="71">
        <v>8.8999999999999996E-2</v>
      </c>
      <c r="X55" s="71">
        <v>1.8636881000000001E-2</v>
      </c>
      <c r="Y55" s="69">
        <v>15</v>
      </c>
      <c r="Z55" s="71">
        <v>2.2250000000000001</v>
      </c>
      <c r="AA55" s="71">
        <v>0.46592202500000002</v>
      </c>
    </row>
    <row r="56" spans="1:27">
      <c r="A56" s="72">
        <v>41122</v>
      </c>
      <c r="B56" t="s">
        <v>387</v>
      </c>
      <c r="C56" s="69" t="s">
        <v>388</v>
      </c>
      <c r="D56" s="69" t="s">
        <v>411</v>
      </c>
      <c r="E56" s="69" t="s">
        <v>414</v>
      </c>
      <c r="F56" s="69" t="s">
        <v>413</v>
      </c>
      <c r="G56" s="73" t="str">
        <f t="shared" si="0"/>
        <v>old above</v>
      </c>
      <c r="H56" s="69">
        <v>0.19600000000000001</v>
      </c>
      <c r="I56" s="69">
        <v>0.2</v>
      </c>
      <c r="J56" s="69">
        <v>0.95799999999999996</v>
      </c>
      <c r="K56" s="69">
        <v>0.55700000000000005</v>
      </c>
      <c r="L56" s="69">
        <v>0.23699999999999999</v>
      </c>
      <c r="M56" s="69">
        <v>1.502</v>
      </c>
      <c r="N56" s="69">
        <v>1.46</v>
      </c>
      <c r="O56" s="69">
        <v>0.38400000000000001</v>
      </c>
      <c r="P56" s="69">
        <v>0.55000000000000004</v>
      </c>
      <c r="Q56" s="69">
        <v>8.1000000000000003E-2</v>
      </c>
      <c r="R56" s="69">
        <v>0.13700000000000001</v>
      </c>
      <c r="S56" s="69">
        <v>0.46899999999999997</v>
      </c>
      <c r="T56" s="69">
        <v>0.371</v>
      </c>
      <c r="U56" s="69">
        <v>0.86399999999999999</v>
      </c>
      <c r="V56" s="69">
        <v>1.423</v>
      </c>
      <c r="W56" s="71">
        <v>0.62593333299999998</v>
      </c>
      <c r="X56" s="71">
        <v>0.12868616199999999</v>
      </c>
      <c r="Y56" s="69">
        <v>15</v>
      </c>
      <c r="Z56" s="71">
        <v>15.64833333</v>
      </c>
      <c r="AA56" s="71">
        <v>3.2171540460000001</v>
      </c>
    </row>
    <row r="57" spans="1:27">
      <c r="A57" s="72">
        <v>41122</v>
      </c>
      <c r="B57" t="s">
        <v>387</v>
      </c>
      <c r="C57" s="69" t="s">
        <v>388</v>
      </c>
      <c r="D57" s="69" t="s">
        <v>411</v>
      </c>
      <c r="E57" s="69" t="s">
        <v>414</v>
      </c>
      <c r="F57" s="69" t="s">
        <v>404</v>
      </c>
      <c r="G57" s="73" t="str">
        <f t="shared" si="0"/>
        <v>old above</v>
      </c>
      <c r="H57" s="69">
        <v>0.504</v>
      </c>
      <c r="I57" s="69">
        <v>0.29199999999999998</v>
      </c>
      <c r="J57" s="69">
        <v>0.20200000000000001</v>
      </c>
      <c r="K57" s="69">
        <v>0.29599999999999999</v>
      </c>
      <c r="L57" s="69">
        <v>0.14799999999999999</v>
      </c>
      <c r="M57" s="69">
        <v>0.95499999999999996</v>
      </c>
      <c r="N57" s="69">
        <v>0.871</v>
      </c>
      <c r="O57" s="69">
        <v>0.38900000000000001</v>
      </c>
      <c r="P57" s="69">
        <v>0.38600000000000001</v>
      </c>
      <c r="Q57" s="69">
        <v>0.22900000000000001</v>
      </c>
      <c r="R57" s="69">
        <v>0.19500000000000001</v>
      </c>
      <c r="S57" s="69">
        <v>0.36299999999999999</v>
      </c>
      <c r="T57" s="69">
        <v>0.20899999999999999</v>
      </c>
      <c r="U57" s="69">
        <v>0.88400000000000001</v>
      </c>
      <c r="V57" s="69">
        <v>1.0780000000000001</v>
      </c>
      <c r="W57" s="71">
        <v>0.46673333299999997</v>
      </c>
      <c r="X57" s="71">
        <v>8.1720864000000004E-2</v>
      </c>
      <c r="Y57" s="69">
        <v>15</v>
      </c>
      <c r="Z57" s="71">
        <v>11.668333329999999</v>
      </c>
      <c r="AA57" s="71">
        <v>2.0430216109999999</v>
      </c>
    </row>
    <row r="58" spans="1:27">
      <c r="A58" s="72">
        <v>41122</v>
      </c>
      <c r="B58" t="s">
        <v>387</v>
      </c>
      <c r="C58" s="69" t="s">
        <v>388</v>
      </c>
      <c r="D58" s="69" t="s">
        <v>411</v>
      </c>
      <c r="E58" s="69" t="s">
        <v>414</v>
      </c>
      <c r="F58" s="69" t="s">
        <v>405</v>
      </c>
      <c r="G58" s="73" t="str">
        <f t="shared" si="0"/>
        <v>new above</v>
      </c>
      <c r="H58" s="69">
        <v>1.6E-2</v>
      </c>
      <c r="I58" s="69">
        <v>0</v>
      </c>
      <c r="J58" s="69">
        <v>0</v>
      </c>
      <c r="K58" s="69">
        <v>0</v>
      </c>
      <c r="L58" s="69">
        <v>0</v>
      </c>
      <c r="M58" s="69">
        <v>0</v>
      </c>
      <c r="N58" s="69">
        <v>0.151</v>
      </c>
      <c r="O58" s="69">
        <v>7.8E-2</v>
      </c>
      <c r="P58" s="69">
        <v>0</v>
      </c>
      <c r="Q58" s="69">
        <v>1.9E-2</v>
      </c>
      <c r="R58" s="69">
        <v>1.2999999999999999E-2</v>
      </c>
      <c r="S58" s="69">
        <v>0</v>
      </c>
      <c r="T58" s="69">
        <v>0</v>
      </c>
      <c r="U58" s="69">
        <v>0</v>
      </c>
      <c r="V58" s="69">
        <v>0</v>
      </c>
      <c r="W58" s="71">
        <v>1.8466666999999999E-2</v>
      </c>
      <c r="X58" s="71">
        <v>1.0813513E-2</v>
      </c>
      <c r="Y58" s="69">
        <v>15</v>
      </c>
      <c r="Z58" s="71">
        <v>0.46166666699999998</v>
      </c>
      <c r="AA58" s="71">
        <v>0.27033782499999998</v>
      </c>
    </row>
    <row r="59" spans="1:27">
      <c r="A59" s="72">
        <v>41122</v>
      </c>
      <c r="B59" t="s">
        <v>387</v>
      </c>
      <c r="C59" s="69" t="s">
        <v>388</v>
      </c>
      <c r="D59" s="69" t="s">
        <v>411</v>
      </c>
      <c r="E59" s="69" t="s">
        <v>414</v>
      </c>
      <c r="F59" s="69" t="s">
        <v>406</v>
      </c>
      <c r="G59" s="73" t="str">
        <f t="shared" si="0"/>
        <v>below</v>
      </c>
      <c r="H59" s="69">
        <v>0.90500000000000003</v>
      </c>
      <c r="I59" s="69">
        <v>1.5740000000000001</v>
      </c>
      <c r="J59" s="69">
        <v>3.0089999999999999</v>
      </c>
      <c r="K59" s="69">
        <v>2.2400000000000002</v>
      </c>
      <c r="L59" s="69">
        <v>8.1000000000000003E-2</v>
      </c>
      <c r="M59" s="69">
        <v>4.3109999999999999</v>
      </c>
      <c r="N59" s="69">
        <v>1.6990000000000001</v>
      </c>
      <c r="O59" s="69">
        <v>1.2470000000000001</v>
      </c>
      <c r="P59" s="69">
        <v>2.1949999999999998</v>
      </c>
      <c r="Q59" s="69">
        <v>0.39400000000000002</v>
      </c>
      <c r="R59" s="69">
        <v>1.073</v>
      </c>
      <c r="S59" s="69">
        <v>1.1080000000000001</v>
      </c>
      <c r="T59" s="69">
        <v>0.64500000000000002</v>
      </c>
      <c r="U59" s="69">
        <v>0.75</v>
      </c>
      <c r="V59" s="69">
        <v>1.988</v>
      </c>
      <c r="W59" s="71">
        <v>1.547933333</v>
      </c>
      <c r="X59" s="71">
        <v>0.28235854399999999</v>
      </c>
      <c r="Y59" s="69">
        <v>15</v>
      </c>
      <c r="Z59" s="71">
        <v>38.698333329999997</v>
      </c>
      <c r="AA59" s="71">
        <v>7.058963597</v>
      </c>
    </row>
    <row r="60" spans="1:27">
      <c r="A60" s="72">
        <v>41122</v>
      </c>
      <c r="B60" t="s">
        <v>387</v>
      </c>
      <c r="C60" s="69" t="s">
        <v>388</v>
      </c>
      <c r="D60" s="69" t="s">
        <v>411</v>
      </c>
      <c r="E60" s="69" t="s">
        <v>415</v>
      </c>
      <c r="F60" s="69" t="s">
        <v>403</v>
      </c>
      <c r="G60" s="73" t="str">
        <f t="shared" si="0"/>
        <v>new above</v>
      </c>
      <c r="H60" s="69">
        <v>0</v>
      </c>
      <c r="I60" s="69">
        <v>0</v>
      </c>
      <c r="J60" s="69">
        <v>0</v>
      </c>
      <c r="K60" s="69">
        <v>0</v>
      </c>
      <c r="L60" s="69">
        <v>0</v>
      </c>
      <c r="M60" s="69">
        <v>0</v>
      </c>
      <c r="N60" s="69">
        <v>0</v>
      </c>
      <c r="O60" s="69">
        <v>0</v>
      </c>
      <c r="P60" s="69">
        <v>0</v>
      </c>
      <c r="Q60" s="69">
        <v>0</v>
      </c>
      <c r="R60" s="69">
        <v>0.40200000000000002</v>
      </c>
      <c r="S60" s="69">
        <v>3.5000000000000003E-2</v>
      </c>
      <c r="T60" s="69">
        <v>0.16700000000000001</v>
      </c>
      <c r="U60" s="69">
        <v>0</v>
      </c>
      <c r="V60" s="69">
        <v>0</v>
      </c>
      <c r="W60" s="71">
        <v>4.0266666999999999E-2</v>
      </c>
      <c r="X60" s="71">
        <v>2.8149002999999999E-2</v>
      </c>
      <c r="Y60" s="69">
        <v>15</v>
      </c>
      <c r="Z60" s="71">
        <v>1.006666667</v>
      </c>
      <c r="AA60" s="71">
        <v>0.70372506599999995</v>
      </c>
    </row>
    <row r="61" spans="1:27">
      <c r="A61" s="72">
        <v>41122</v>
      </c>
      <c r="B61" t="s">
        <v>387</v>
      </c>
      <c r="C61" s="69" t="s">
        <v>388</v>
      </c>
      <c r="D61" s="69" t="s">
        <v>411</v>
      </c>
      <c r="E61" s="69" t="s">
        <v>415</v>
      </c>
      <c r="F61" s="69" t="s">
        <v>404</v>
      </c>
      <c r="G61" s="73" t="str">
        <f t="shared" si="0"/>
        <v>old above</v>
      </c>
      <c r="H61" s="69">
        <v>0</v>
      </c>
      <c r="I61" s="69">
        <v>0</v>
      </c>
      <c r="J61" s="69">
        <v>0</v>
      </c>
      <c r="K61" s="69">
        <v>0</v>
      </c>
      <c r="L61" s="69">
        <v>0</v>
      </c>
      <c r="M61" s="69">
        <v>0</v>
      </c>
      <c r="N61" s="69">
        <v>0</v>
      </c>
      <c r="O61" s="69">
        <v>0</v>
      </c>
      <c r="P61" s="69">
        <v>0</v>
      </c>
      <c r="Q61" s="69">
        <v>0</v>
      </c>
      <c r="R61" s="69">
        <v>5.9619999999999997</v>
      </c>
      <c r="S61" s="69">
        <v>0.53300000000000003</v>
      </c>
      <c r="T61" s="69">
        <v>0.91500000000000004</v>
      </c>
      <c r="U61" s="69">
        <v>0</v>
      </c>
      <c r="V61" s="69">
        <v>0</v>
      </c>
      <c r="W61" s="71">
        <v>0.49399999999999999</v>
      </c>
      <c r="X61" s="71">
        <v>0.39644982899999998</v>
      </c>
      <c r="Y61" s="69">
        <v>15</v>
      </c>
      <c r="Z61" s="71">
        <v>12.35</v>
      </c>
      <c r="AA61" s="71">
        <v>9.9112457169999999</v>
      </c>
    </row>
    <row r="62" spans="1:27">
      <c r="A62" s="72">
        <v>41122</v>
      </c>
      <c r="B62" t="s">
        <v>387</v>
      </c>
      <c r="C62" s="69" t="s">
        <v>388</v>
      </c>
      <c r="D62" s="69" t="s">
        <v>411</v>
      </c>
      <c r="E62" s="69" t="s">
        <v>415</v>
      </c>
      <c r="F62" s="69" t="s">
        <v>405</v>
      </c>
      <c r="G62" s="73" t="str">
        <f t="shared" si="0"/>
        <v>new above</v>
      </c>
      <c r="H62" s="69">
        <v>0</v>
      </c>
      <c r="I62" s="69">
        <v>0</v>
      </c>
      <c r="J62" s="69">
        <v>0</v>
      </c>
      <c r="K62" s="69">
        <v>0</v>
      </c>
      <c r="L62" s="69">
        <v>0</v>
      </c>
      <c r="M62" s="69">
        <v>0</v>
      </c>
      <c r="N62" s="69">
        <v>0</v>
      </c>
      <c r="O62" s="69">
        <v>0</v>
      </c>
      <c r="P62" s="69">
        <v>0</v>
      </c>
      <c r="Q62" s="69">
        <v>0</v>
      </c>
      <c r="R62" s="69">
        <v>0</v>
      </c>
      <c r="S62" s="69">
        <v>0</v>
      </c>
      <c r="T62" s="69">
        <v>0</v>
      </c>
      <c r="U62" s="69">
        <v>0</v>
      </c>
      <c r="V62" s="69">
        <v>0</v>
      </c>
      <c r="W62" s="71">
        <v>0</v>
      </c>
      <c r="X62" s="71">
        <v>0</v>
      </c>
      <c r="Y62" s="69">
        <v>15</v>
      </c>
      <c r="Z62" s="71">
        <v>0</v>
      </c>
      <c r="AA62" s="71">
        <v>0</v>
      </c>
    </row>
    <row r="63" spans="1:27">
      <c r="A63" s="72">
        <v>41122</v>
      </c>
      <c r="B63" t="s">
        <v>387</v>
      </c>
      <c r="C63" s="69" t="s">
        <v>388</v>
      </c>
      <c r="D63" s="69" t="s">
        <v>411</v>
      </c>
      <c r="E63" s="69" t="s">
        <v>415</v>
      </c>
      <c r="F63" s="69" t="s">
        <v>406</v>
      </c>
      <c r="G63" s="73" t="str">
        <f t="shared" si="0"/>
        <v>below</v>
      </c>
      <c r="H63" s="69">
        <v>0</v>
      </c>
      <c r="I63" s="69">
        <v>0</v>
      </c>
      <c r="J63" s="69">
        <v>0</v>
      </c>
      <c r="K63" s="69">
        <v>0</v>
      </c>
      <c r="L63" s="69">
        <v>0</v>
      </c>
      <c r="M63" s="69">
        <v>0</v>
      </c>
      <c r="N63" s="69">
        <v>0</v>
      </c>
      <c r="O63" s="69">
        <v>0</v>
      </c>
      <c r="P63" s="69">
        <v>0</v>
      </c>
      <c r="Q63" s="69">
        <v>0</v>
      </c>
      <c r="R63" s="69">
        <v>5.52</v>
      </c>
      <c r="S63" s="69">
        <v>0.109</v>
      </c>
      <c r="T63" s="69">
        <v>0.89800000000000002</v>
      </c>
      <c r="U63" s="69">
        <v>0</v>
      </c>
      <c r="V63" s="69">
        <v>0</v>
      </c>
      <c r="W63" s="71">
        <v>0.43513333300000001</v>
      </c>
      <c r="X63" s="71">
        <v>0.36806165200000002</v>
      </c>
      <c r="Y63" s="69">
        <v>15</v>
      </c>
      <c r="Z63" s="71">
        <v>10.87833333</v>
      </c>
      <c r="AA63" s="71">
        <v>9.2015413000000006</v>
      </c>
    </row>
    <row r="64" spans="1:27">
      <c r="A64" s="72">
        <v>41122</v>
      </c>
      <c r="B64" t="s">
        <v>387</v>
      </c>
      <c r="C64" s="69" t="s">
        <v>388</v>
      </c>
      <c r="D64" s="69" t="s">
        <v>411</v>
      </c>
      <c r="E64" s="69" t="s">
        <v>416</v>
      </c>
      <c r="F64" s="69" t="s">
        <v>402</v>
      </c>
      <c r="G64" s="73" t="str">
        <f t="shared" si="0"/>
        <v>new above</v>
      </c>
      <c r="H64" s="69">
        <v>0</v>
      </c>
      <c r="I64" s="69">
        <v>0</v>
      </c>
      <c r="J64" s="69">
        <v>0</v>
      </c>
      <c r="K64" s="69">
        <v>0</v>
      </c>
      <c r="L64" s="69">
        <v>0</v>
      </c>
      <c r="M64" s="69">
        <v>0</v>
      </c>
      <c r="N64" s="69">
        <v>0</v>
      </c>
      <c r="O64" s="69">
        <v>0</v>
      </c>
      <c r="P64" s="69">
        <v>0</v>
      </c>
      <c r="Q64" s="69">
        <v>0</v>
      </c>
      <c r="R64" s="69">
        <v>0</v>
      </c>
      <c r="S64" s="69">
        <v>0</v>
      </c>
      <c r="T64" s="69">
        <v>0</v>
      </c>
      <c r="U64" s="69">
        <v>0</v>
      </c>
      <c r="V64" s="69">
        <v>0</v>
      </c>
      <c r="W64" s="71">
        <v>0</v>
      </c>
      <c r="X64" s="71">
        <v>0</v>
      </c>
      <c r="Y64" s="69">
        <v>15</v>
      </c>
      <c r="Z64" s="71">
        <v>0</v>
      </c>
      <c r="AA64" s="71">
        <v>0</v>
      </c>
    </row>
    <row r="65" spans="1:27">
      <c r="A65" s="72">
        <v>41122</v>
      </c>
      <c r="B65" t="s">
        <v>387</v>
      </c>
      <c r="C65" s="69" t="s">
        <v>388</v>
      </c>
      <c r="D65" s="69" t="s">
        <v>411</v>
      </c>
      <c r="E65" s="69" t="s">
        <v>416</v>
      </c>
      <c r="F65" s="69" t="s">
        <v>403</v>
      </c>
      <c r="G65" s="73" t="str">
        <f t="shared" si="0"/>
        <v>new above</v>
      </c>
      <c r="H65" s="69">
        <v>0</v>
      </c>
      <c r="I65" s="69">
        <v>0</v>
      </c>
      <c r="J65" s="69">
        <v>0</v>
      </c>
      <c r="K65" s="69">
        <v>0</v>
      </c>
      <c r="L65" s="69">
        <v>0</v>
      </c>
      <c r="M65" s="69">
        <v>0</v>
      </c>
      <c r="N65" s="69">
        <v>0</v>
      </c>
      <c r="O65" s="69">
        <v>0</v>
      </c>
      <c r="P65" s="69">
        <v>0</v>
      </c>
      <c r="Q65" s="69">
        <v>0</v>
      </c>
      <c r="R65" s="69">
        <v>0</v>
      </c>
      <c r="S65" s="69">
        <v>0</v>
      </c>
      <c r="T65" s="69">
        <v>0</v>
      </c>
      <c r="U65" s="69">
        <v>0</v>
      </c>
      <c r="V65" s="69">
        <v>0</v>
      </c>
      <c r="W65" s="71">
        <v>0</v>
      </c>
      <c r="X65" s="71">
        <v>0</v>
      </c>
      <c r="Y65" s="69">
        <v>15</v>
      </c>
      <c r="Z65" s="71">
        <v>0</v>
      </c>
      <c r="AA65" s="71">
        <v>0</v>
      </c>
    </row>
    <row r="66" spans="1:27">
      <c r="A66" s="72">
        <v>41122</v>
      </c>
      <c r="B66" t="s">
        <v>387</v>
      </c>
      <c r="C66" s="69" t="s">
        <v>388</v>
      </c>
      <c r="D66" s="69" t="s">
        <v>411</v>
      </c>
      <c r="E66" s="69" t="s">
        <v>416</v>
      </c>
      <c r="F66" s="69" t="s">
        <v>413</v>
      </c>
      <c r="G66" s="73" t="str">
        <f t="shared" si="0"/>
        <v>old above</v>
      </c>
      <c r="H66" s="69">
        <v>0</v>
      </c>
      <c r="I66" s="69">
        <v>0</v>
      </c>
      <c r="J66" s="69">
        <v>0</v>
      </c>
      <c r="K66" s="69">
        <v>0</v>
      </c>
      <c r="L66" s="69">
        <v>0</v>
      </c>
      <c r="M66" s="69">
        <v>0</v>
      </c>
      <c r="N66" s="69">
        <v>0</v>
      </c>
      <c r="O66" s="69">
        <v>0</v>
      </c>
      <c r="P66" s="69">
        <v>0</v>
      </c>
      <c r="Q66" s="69">
        <v>0</v>
      </c>
      <c r="R66" s="69">
        <v>0</v>
      </c>
      <c r="S66" s="69">
        <v>0</v>
      </c>
      <c r="T66" s="69">
        <v>0</v>
      </c>
      <c r="U66" s="69">
        <v>0</v>
      </c>
      <c r="V66" s="69">
        <v>0</v>
      </c>
      <c r="W66" s="71">
        <v>0</v>
      </c>
      <c r="X66" s="71">
        <v>0</v>
      </c>
      <c r="Y66" s="69">
        <v>15</v>
      </c>
      <c r="Z66" s="71">
        <v>0</v>
      </c>
      <c r="AA66" s="71">
        <v>0</v>
      </c>
    </row>
    <row r="67" spans="1:27">
      <c r="A67" s="72">
        <v>41122</v>
      </c>
      <c r="B67" t="s">
        <v>387</v>
      </c>
      <c r="C67" s="69" t="s">
        <v>388</v>
      </c>
      <c r="D67" s="69" t="s">
        <v>411</v>
      </c>
      <c r="E67" s="69" t="s">
        <v>416</v>
      </c>
      <c r="F67" s="69" t="s">
        <v>404</v>
      </c>
      <c r="G67" s="73" t="str">
        <f t="shared" ref="G67:G130" si="1">IF(OR(F67="blade",F67="sheath",F67="v1",F67="v0",F67="buds",F67="new buds",,F67="inflorescence",F67="inflor.",F67="inc. blade",F67="inc. sheath",F67="cys",F67="inflor/culm",F67="infl. bud",F67="inc. cys",F67="cys blade",F67="cys sheath",F67="sheath/culm",F67="new above",F67="new leaves",F67="new stems",F67="long leaf",F67="long stem",F67="short leaf",F67="short stem",F67="fruit"),"new above",IF(OR(F67="old stems",F67="old leaves",F67="old above",),"old above",IF(OR(F67="rhizome",F67="below",F67="below stems",F67="roots",),"below",IF(OR(F67="live",F67="live green"),"non-vascular",IF(OR(F67="standing dead",F67="litter"),"litter","")))))</f>
        <v>old above</v>
      </c>
      <c r="H67" s="69">
        <v>0</v>
      </c>
      <c r="I67" s="69">
        <v>0</v>
      </c>
      <c r="J67" s="69">
        <v>0</v>
      </c>
      <c r="K67" s="69">
        <v>0</v>
      </c>
      <c r="L67" s="69">
        <v>0</v>
      </c>
      <c r="M67" s="69">
        <v>0</v>
      </c>
      <c r="N67" s="69">
        <v>0</v>
      </c>
      <c r="O67" s="69">
        <v>0</v>
      </c>
      <c r="P67" s="69">
        <v>0</v>
      </c>
      <c r="Q67" s="69">
        <v>0</v>
      </c>
      <c r="R67" s="69">
        <v>0</v>
      </c>
      <c r="S67" s="69">
        <v>0</v>
      </c>
      <c r="T67" s="69">
        <v>0</v>
      </c>
      <c r="U67" s="69">
        <v>0</v>
      </c>
      <c r="V67" s="69">
        <v>0</v>
      </c>
      <c r="W67" s="71">
        <v>0</v>
      </c>
      <c r="X67" s="71">
        <v>0</v>
      </c>
      <c r="Y67" s="69">
        <v>15</v>
      </c>
      <c r="Z67" s="71">
        <v>0</v>
      </c>
      <c r="AA67" s="71">
        <v>0</v>
      </c>
    </row>
    <row r="68" spans="1:27">
      <c r="A68" s="72">
        <v>41122</v>
      </c>
      <c r="B68" t="s">
        <v>387</v>
      </c>
      <c r="C68" s="69" t="s">
        <v>388</v>
      </c>
      <c r="D68" s="69" t="s">
        <v>411</v>
      </c>
      <c r="E68" s="69" t="s">
        <v>416</v>
      </c>
      <c r="F68" s="69" t="s">
        <v>405</v>
      </c>
      <c r="G68" s="73" t="str">
        <f t="shared" si="1"/>
        <v>new above</v>
      </c>
      <c r="H68" s="69">
        <v>0</v>
      </c>
      <c r="I68" s="69">
        <v>0</v>
      </c>
      <c r="J68" s="69">
        <v>0</v>
      </c>
      <c r="K68" s="69">
        <v>0</v>
      </c>
      <c r="L68" s="69">
        <v>0</v>
      </c>
      <c r="M68" s="69">
        <v>0</v>
      </c>
      <c r="N68" s="69">
        <v>0</v>
      </c>
      <c r="O68" s="69">
        <v>0</v>
      </c>
      <c r="P68" s="69">
        <v>0</v>
      </c>
      <c r="Q68" s="69">
        <v>0</v>
      </c>
      <c r="R68" s="69">
        <v>0</v>
      </c>
      <c r="S68" s="69">
        <v>0</v>
      </c>
      <c r="T68" s="69">
        <v>0</v>
      </c>
      <c r="U68" s="69">
        <v>0</v>
      </c>
      <c r="V68" s="69">
        <v>0</v>
      </c>
      <c r="W68" s="71">
        <v>0</v>
      </c>
      <c r="X68" s="71">
        <v>0</v>
      </c>
      <c r="Y68" s="69">
        <v>15</v>
      </c>
      <c r="Z68" s="71">
        <v>0</v>
      </c>
      <c r="AA68" s="71">
        <v>0</v>
      </c>
    </row>
    <row r="69" spans="1:27">
      <c r="A69" s="72">
        <v>41122</v>
      </c>
      <c r="B69" t="s">
        <v>387</v>
      </c>
      <c r="C69" s="69" t="s">
        <v>388</v>
      </c>
      <c r="D69" s="69" t="s">
        <v>411</v>
      </c>
      <c r="E69" s="69" t="s">
        <v>416</v>
      </c>
      <c r="F69" s="69" t="s">
        <v>406</v>
      </c>
      <c r="G69" s="73" t="str">
        <f t="shared" si="1"/>
        <v>below</v>
      </c>
      <c r="H69" s="69">
        <v>0</v>
      </c>
      <c r="I69" s="69">
        <v>0</v>
      </c>
      <c r="J69" s="69">
        <v>0</v>
      </c>
      <c r="K69" s="69">
        <v>0</v>
      </c>
      <c r="L69" s="69">
        <v>0</v>
      </c>
      <c r="M69" s="69">
        <v>0</v>
      </c>
      <c r="N69" s="69">
        <v>0</v>
      </c>
      <c r="O69" s="69">
        <v>0</v>
      </c>
      <c r="P69" s="69">
        <v>0</v>
      </c>
      <c r="Q69" s="69">
        <v>0</v>
      </c>
      <c r="R69" s="69">
        <v>0</v>
      </c>
      <c r="S69" s="69">
        <v>0</v>
      </c>
      <c r="T69" s="69">
        <v>0</v>
      </c>
      <c r="U69" s="69">
        <v>0</v>
      </c>
      <c r="V69" s="69">
        <v>0</v>
      </c>
      <c r="W69" s="71">
        <v>0</v>
      </c>
      <c r="X69" s="71">
        <v>0</v>
      </c>
      <c r="Y69" s="69">
        <v>15</v>
      </c>
      <c r="Z69" s="71">
        <v>0</v>
      </c>
      <c r="AA69" s="71">
        <v>0</v>
      </c>
    </row>
    <row r="70" spans="1:27">
      <c r="A70" s="72">
        <v>41122</v>
      </c>
      <c r="B70" t="s">
        <v>387</v>
      </c>
      <c r="C70" s="69" t="s">
        <v>388</v>
      </c>
      <c r="D70" s="69" t="s">
        <v>411</v>
      </c>
      <c r="E70" s="69" t="s">
        <v>417</v>
      </c>
      <c r="F70" s="69" t="s">
        <v>402</v>
      </c>
      <c r="G70" s="73" t="str">
        <f t="shared" si="1"/>
        <v>new above</v>
      </c>
      <c r="H70" s="69">
        <v>0</v>
      </c>
      <c r="I70" s="69">
        <v>0</v>
      </c>
      <c r="J70" s="69">
        <v>0</v>
      </c>
      <c r="K70" s="69">
        <v>0</v>
      </c>
      <c r="L70" s="69">
        <v>7.0000000000000007E-2</v>
      </c>
      <c r="M70" s="69">
        <v>0</v>
      </c>
      <c r="N70" s="69">
        <v>4.2999999999999997E-2</v>
      </c>
      <c r="O70" s="69">
        <v>8.7999999999999995E-2</v>
      </c>
      <c r="P70" s="69">
        <v>0</v>
      </c>
      <c r="Q70" s="69">
        <v>0</v>
      </c>
      <c r="R70" s="69">
        <v>0</v>
      </c>
      <c r="S70" s="69">
        <v>0</v>
      </c>
      <c r="T70" s="69">
        <v>0</v>
      </c>
      <c r="U70" s="69">
        <v>0</v>
      </c>
      <c r="V70" s="69">
        <v>0</v>
      </c>
      <c r="W70" s="71">
        <v>1.34E-2</v>
      </c>
      <c r="X70" s="71">
        <v>7.4959040000000003E-3</v>
      </c>
      <c r="Y70" s="69">
        <v>15</v>
      </c>
      <c r="Z70" s="71">
        <v>0.33500000000000002</v>
      </c>
      <c r="AA70" s="71">
        <v>0.187397591</v>
      </c>
    </row>
    <row r="71" spans="1:27">
      <c r="A71" s="72">
        <v>41122</v>
      </c>
      <c r="B71" t="s">
        <v>387</v>
      </c>
      <c r="C71" s="69" t="s">
        <v>388</v>
      </c>
      <c r="D71" s="69" t="s">
        <v>411</v>
      </c>
      <c r="E71" s="69" t="s">
        <v>417</v>
      </c>
      <c r="F71" s="69" t="s">
        <v>403</v>
      </c>
      <c r="G71" s="73" t="str">
        <f t="shared" si="1"/>
        <v>new above</v>
      </c>
      <c r="H71" s="69">
        <v>0</v>
      </c>
      <c r="I71" s="69">
        <v>0</v>
      </c>
      <c r="J71" s="69">
        <v>0</v>
      </c>
      <c r="K71" s="69">
        <v>0</v>
      </c>
      <c r="L71" s="69">
        <v>2.5999999999999999E-2</v>
      </c>
      <c r="M71" s="69">
        <v>0</v>
      </c>
      <c r="N71" s="69">
        <v>3.0000000000000001E-3</v>
      </c>
      <c r="O71" s="69">
        <v>8.9999999999999993E-3</v>
      </c>
      <c r="P71" s="69">
        <v>0</v>
      </c>
      <c r="Q71" s="69">
        <v>0</v>
      </c>
      <c r="R71" s="69">
        <v>0</v>
      </c>
      <c r="S71" s="69">
        <v>0</v>
      </c>
      <c r="T71" s="69">
        <v>0</v>
      </c>
      <c r="U71" s="69">
        <v>0</v>
      </c>
      <c r="V71" s="69">
        <v>0</v>
      </c>
      <c r="W71" s="71">
        <v>2.533333E-3</v>
      </c>
      <c r="X71" s="71">
        <v>1.7858349999999999E-3</v>
      </c>
      <c r="Y71" s="69">
        <v>15</v>
      </c>
      <c r="Z71" s="71">
        <v>6.3333333000000006E-2</v>
      </c>
      <c r="AA71" s="71">
        <v>4.4645873000000003E-2</v>
      </c>
    </row>
    <row r="72" spans="1:27">
      <c r="A72" s="72">
        <v>41122</v>
      </c>
      <c r="B72" t="s">
        <v>387</v>
      </c>
      <c r="C72" s="69" t="s">
        <v>388</v>
      </c>
      <c r="D72" s="69" t="s">
        <v>411</v>
      </c>
      <c r="E72" s="69" t="s">
        <v>417</v>
      </c>
      <c r="F72" s="69" t="s">
        <v>413</v>
      </c>
      <c r="G72" s="73" t="str">
        <f t="shared" si="1"/>
        <v>old above</v>
      </c>
      <c r="H72" s="69">
        <v>0</v>
      </c>
      <c r="I72" s="69">
        <v>0</v>
      </c>
      <c r="J72" s="69">
        <v>0</v>
      </c>
      <c r="K72" s="69">
        <v>0</v>
      </c>
      <c r="L72" s="69">
        <v>0.114</v>
      </c>
      <c r="M72" s="69">
        <v>0</v>
      </c>
      <c r="N72" s="69">
        <v>0.122</v>
      </c>
      <c r="O72" s="69">
        <v>0.27600000000000002</v>
      </c>
      <c r="P72" s="69">
        <v>0</v>
      </c>
      <c r="Q72" s="69">
        <v>0</v>
      </c>
      <c r="R72" s="69">
        <v>0</v>
      </c>
      <c r="S72" s="69">
        <v>0</v>
      </c>
      <c r="T72" s="69">
        <v>0</v>
      </c>
      <c r="U72" s="69">
        <v>0</v>
      </c>
      <c r="V72" s="69">
        <v>0</v>
      </c>
      <c r="W72" s="71">
        <v>3.4133333000000002E-2</v>
      </c>
      <c r="X72" s="71">
        <v>2.0304789E-2</v>
      </c>
      <c r="Y72" s="69">
        <v>15</v>
      </c>
      <c r="Z72" s="71">
        <v>0.85333333300000003</v>
      </c>
      <c r="AA72" s="71">
        <v>0.50761971800000005</v>
      </c>
    </row>
    <row r="73" spans="1:27">
      <c r="A73" s="72">
        <v>41122</v>
      </c>
      <c r="B73" t="s">
        <v>387</v>
      </c>
      <c r="C73" s="69" t="s">
        <v>388</v>
      </c>
      <c r="D73" s="69" t="s">
        <v>411</v>
      </c>
      <c r="E73" s="69" t="s">
        <v>417</v>
      </c>
      <c r="F73" s="69" t="s">
        <v>404</v>
      </c>
      <c r="G73" s="73" t="str">
        <f t="shared" si="1"/>
        <v>old above</v>
      </c>
      <c r="H73" s="69">
        <v>0</v>
      </c>
      <c r="I73" s="69">
        <v>0</v>
      </c>
      <c r="J73" s="69">
        <v>0</v>
      </c>
      <c r="K73" s="69">
        <v>0</v>
      </c>
      <c r="L73" s="69">
        <v>9.0999999999999998E-2</v>
      </c>
      <c r="M73" s="69">
        <v>0</v>
      </c>
      <c r="N73" s="69">
        <v>0.155</v>
      </c>
      <c r="O73" s="69">
        <v>0.437</v>
      </c>
      <c r="P73" s="69">
        <v>0</v>
      </c>
      <c r="Q73" s="69">
        <v>0</v>
      </c>
      <c r="R73" s="69">
        <v>0</v>
      </c>
      <c r="S73" s="69">
        <v>0</v>
      </c>
      <c r="T73" s="69">
        <v>0</v>
      </c>
      <c r="U73" s="69">
        <v>0</v>
      </c>
      <c r="V73" s="69">
        <v>0</v>
      </c>
      <c r="W73" s="71">
        <v>4.5533333000000002E-2</v>
      </c>
      <c r="X73" s="71">
        <v>3.0250992000000001E-2</v>
      </c>
      <c r="Y73" s="69">
        <v>15</v>
      </c>
      <c r="Z73" s="71">
        <v>1.1383333330000001</v>
      </c>
      <c r="AA73" s="71">
        <v>0.75627480899999999</v>
      </c>
    </row>
    <row r="74" spans="1:27">
      <c r="A74" s="72">
        <v>41122</v>
      </c>
      <c r="B74" t="s">
        <v>387</v>
      </c>
      <c r="C74" s="69" t="s">
        <v>388</v>
      </c>
      <c r="D74" s="69" t="s">
        <v>411</v>
      </c>
      <c r="E74" s="69" t="s">
        <v>417</v>
      </c>
      <c r="F74" s="69" t="s">
        <v>405</v>
      </c>
      <c r="G74" s="73" t="str">
        <f t="shared" si="1"/>
        <v>new above</v>
      </c>
      <c r="H74" s="69">
        <v>0</v>
      </c>
      <c r="I74" s="69">
        <v>0</v>
      </c>
      <c r="J74" s="69">
        <v>0</v>
      </c>
      <c r="K74" s="69">
        <v>0</v>
      </c>
      <c r="L74" s="69">
        <v>0</v>
      </c>
      <c r="M74" s="69">
        <v>0</v>
      </c>
      <c r="N74" s="69">
        <v>1.4E-2</v>
      </c>
      <c r="O74" s="69">
        <v>0.123</v>
      </c>
      <c r="P74" s="69">
        <v>0</v>
      </c>
      <c r="Q74" s="69">
        <v>0</v>
      </c>
      <c r="R74" s="69">
        <v>0</v>
      </c>
      <c r="S74" s="69">
        <v>0</v>
      </c>
      <c r="T74" s="69">
        <v>0</v>
      </c>
      <c r="U74" s="69">
        <v>0</v>
      </c>
      <c r="V74" s="69">
        <v>0</v>
      </c>
      <c r="W74" s="71">
        <v>9.1333330000000004E-3</v>
      </c>
      <c r="X74" s="71">
        <v>8.1864390000000002E-3</v>
      </c>
      <c r="Y74" s="69">
        <v>15</v>
      </c>
      <c r="Z74" s="71">
        <v>0.228333333</v>
      </c>
      <c r="AA74" s="71">
        <v>0.204660966</v>
      </c>
    </row>
    <row r="75" spans="1:27">
      <c r="A75" s="72">
        <v>41122</v>
      </c>
      <c r="B75" t="s">
        <v>387</v>
      </c>
      <c r="C75" s="69" t="s">
        <v>388</v>
      </c>
      <c r="D75" s="69" t="s">
        <v>411</v>
      </c>
      <c r="E75" s="69" t="s">
        <v>417</v>
      </c>
      <c r="F75" s="69" t="s">
        <v>406</v>
      </c>
      <c r="G75" s="73" t="str">
        <f t="shared" si="1"/>
        <v>below</v>
      </c>
      <c r="H75" s="69">
        <v>0</v>
      </c>
      <c r="I75" s="69">
        <v>0</v>
      </c>
      <c r="J75" s="69">
        <v>0</v>
      </c>
      <c r="K75" s="69">
        <v>0</v>
      </c>
      <c r="L75" s="69">
        <v>0</v>
      </c>
      <c r="M75" s="69">
        <v>0</v>
      </c>
      <c r="N75" s="69">
        <v>0</v>
      </c>
      <c r="O75" s="69">
        <v>1.4</v>
      </c>
      <c r="P75" s="69">
        <v>0</v>
      </c>
      <c r="Q75" s="69">
        <v>0</v>
      </c>
      <c r="R75" s="69">
        <v>0</v>
      </c>
      <c r="S75" s="69">
        <v>0.502</v>
      </c>
      <c r="T75" s="69">
        <v>0</v>
      </c>
      <c r="U75" s="69">
        <v>0</v>
      </c>
      <c r="V75" s="69">
        <v>0</v>
      </c>
      <c r="W75" s="71">
        <v>0.1268</v>
      </c>
      <c r="X75" s="71">
        <v>9.6875727999999994E-2</v>
      </c>
      <c r="Y75" s="69">
        <v>15</v>
      </c>
      <c r="Z75" s="71">
        <v>3.17</v>
      </c>
      <c r="AA75" s="71">
        <v>2.4218931989999999</v>
      </c>
    </row>
    <row r="76" spans="1:27">
      <c r="A76" s="72">
        <v>41122</v>
      </c>
      <c r="B76" t="s">
        <v>387</v>
      </c>
      <c r="C76" s="69" t="s">
        <v>388</v>
      </c>
      <c r="D76" s="69" t="s">
        <v>418</v>
      </c>
      <c r="E76" s="69" t="s">
        <v>419</v>
      </c>
      <c r="F76" s="69" t="s">
        <v>420</v>
      </c>
      <c r="G76" s="73" t="str">
        <f t="shared" si="1"/>
        <v>new above</v>
      </c>
      <c r="H76" s="69">
        <v>1.2490000000000001</v>
      </c>
      <c r="I76" s="69">
        <v>0</v>
      </c>
      <c r="J76" s="69">
        <v>0</v>
      </c>
      <c r="K76" s="69">
        <v>0</v>
      </c>
      <c r="L76" s="69">
        <v>0</v>
      </c>
      <c r="M76" s="69">
        <v>0</v>
      </c>
      <c r="N76" s="69">
        <v>0</v>
      </c>
      <c r="O76" s="69">
        <v>0</v>
      </c>
      <c r="P76" s="69">
        <v>0</v>
      </c>
      <c r="Q76" s="69">
        <v>0.108</v>
      </c>
      <c r="R76" s="69">
        <v>0</v>
      </c>
      <c r="S76" s="69">
        <v>0.06</v>
      </c>
      <c r="T76" s="69">
        <v>0</v>
      </c>
      <c r="U76" s="69">
        <v>0</v>
      </c>
      <c r="V76" s="69">
        <v>0</v>
      </c>
      <c r="W76" s="71">
        <v>9.4466667000000004E-2</v>
      </c>
      <c r="X76" s="71">
        <v>8.2848275999999998E-2</v>
      </c>
      <c r="Y76" s="69">
        <v>15</v>
      </c>
      <c r="Z76" s="71">
        <v>2.3616666670000002</v>
      </c>
      <c r="AA76" s="71">
        <v>2.0712068979999998</v>
      </c>
    </row>
    <row r="77" spans="1:27">
      <c r="A77" s="72">
        <v>41122</v>
      </c>
      <c r="B77" t="s">
        <v>387</v>
      </c>
      <c r="C77" s="69" t="s">
        <v>388</v>
      </c>
      <c r="D77" s="69" t="s">
        <v>418</v>
      </c>
      <c r="E77" s="69" t="s">
        <v>419</v>
      </c>
      <c r="F77" s="69" t="s">
        <v>421</v>
      </c>
      <c r="G77" s="73" t="str">
        <f t="shared" si="1"/>
        <v>below</v>
      </c>
      <c r="H77" s="69">
        <v>2.9420000000000002</v>
      </c>
      <c r="I77" s="69">
        <v>0.32500000000000001</v>
      </c>
      <c r="J77" s="69">
        <v>7.5999999999999998E-2</v>
      </c>
      <c r="K77" s="69">
        <v>1.536</v>
      </c>
      <c r="L77" s="69">
        <v>0</v>
      </c>
      <c r="M77" s="69">
        <v>0.16800000000000001</v>
      </c>
      <c r="N77" s="69">
        <v>0.92500000000000004</v>
      </c>
      <c r="O77" s="69">
        <v>0.86</v>
      </c>
      <c r="P77" s="69">
        <v>1.532</v>
      </c>
      <c r="Q77" s="69">
        <v>0.11700000000000001</v>
      </c>
      <c r="R77" s="69">
        <v>0</v>
      </c>
      <c r="S77" s="69">
        <v>4.7E-2</v>
      </c>
      <c r="T77" s="69">
        <v>0</v>
      </c>
      <c r="U77" s="69">
        <v>0</v>
      </c>
      <c r="V77" s="69">
        <v>0</v>
      </c>
      <c r="W77" s="71">
        <v>0.56853333299999997</v>
      </c>
      <c r="X77" s="71">
        <v>0.22107938399999999</v>
      </c>
      <c r="Y77" s="69">
        <v>15</v>
      </c>
      <c r="Z77" s="71">
        <v>14.213333329999999</v>
      </c>
      <c r="AA77" s="71">
        <v>5.5269845970000002</v>
      </c>
    </row>
    <row r="78" spans="1:27">
      <c r="A78" s="72">
        <v>41122</v>
      </c>
      <c r="B78" t="s">
        <v>387</v>
      </c>
      <c r="C78" s="69" t="s">
        <v>388</v>
      </c>
      <c r="D78" s="69" t="s">
        <v>418</v>
      </c>
      <c r="E78" s="69" t="s">
        <v>422</v>
      </c>
      <c r="F78" s="69" t="s">
        <v>420</v>
      </c>
      <c r="G78" s="73" t="str">
        <f t="shared" si="1"/>
        <v>new above</v>
      </c>
      <c r="H78" s="69">
        <v>0</v>
      </c>
      <c r="I78" s="69">
        <v>0</v>
      </c>
      <c r="J78" s="69">
        <v>0</v>
      </c>
      <c r="K78" s="69">
        <v>0</v>
      </c>
      <c r="L78" s="69">
        <v>0</v>
      </c>
      <c r="M78" s="69">
        <v>0</v>
      </c>
      <c r="N78" s="69">
        <v>0</v>
      </c>
      <c r="O78" s="69">
        <v>0</v>
      </c>
      <c r="P78" s="69">
        <v>0</v>
      </c>
      <c r="Q78" s="69">
        <v>0</v>
      </c>
      <c r="R78" s="69">
        <v>0</v>
      </c>
      <c r="S78" s="69">
        <v>0</v>
      </c>
      <c r="T78" s="69">
        <v>7.0000000000000007E-2</v>
      </c>
      <c r="U78" s="69">
        <v>0</v>
      </c>
      <c r="V78" s="69">
        <v>7.0000000000000007E-2</v>
      </c>
      <c r="W78" s="71">
        <v>9.3333329999999992E-3</v>
      </c>
      <c r="X78" s="71">
        <v>6.359595E-3</v>
      </c>
      <c r="Y78" s="69">
        <v>15</v>
      </c>
      <c r="Z78" s="71">
        <v>0.233333333</v>
      </c>
      <c r="AA78" s="71">
        <v>0.15898986700000001</v>
      </c>
    </row>
    <row r="79" spans="1:27">
      <c r="A79" s="72">
        <v>41122</v>
      </c>
      <c r="B79" t="s">
        <v>387</v>
      </c>
      <c r="C79" s="69" t="s">
        <v>388</v>
      </c>
      <c r="D79" s="69" t="s">
        <v>418</v>
      </c>
      <c r="E79" s="69" t="s">
        <v>422</v>
      </c>
      <c r="F79" s="69" t="s">
        <v>421</v>
      </c>
      <c r="G79" s="73" t="str">
        <f t="shared" si="1"/>
        <v>below</v>
      </c>
      <c r="H79" s="69">
        <v>0</v>
      </c>
      <c r="I79" s="69">
        <v>0</v>
      </c>
      <c r="J79" s="69">
        <v>0</v>
      </c>
      <c r="K79" s="69">
        <v>0</v>
      </c>
      <c r="L79" s="69">
        <v>0</v>
      </c>
      <c r="M79" s="69">
        <v>0</v>
      </c>
      <c r="N79" s="69">
        <v>0</v>
      </c>
      <c r="O79" s="69">
        <v>0</v>
      </c>
      <c r="P79" s="69">
        <v>0</v>
      </c>
      <c r="Q79" s="69">
        <v>0</v>
      </c>
      <c r="R79" s="69">
        <v>0</v>
      </c>
      <c r="S79" s="69">
        <v>0</v>
      </c>
      <c r="T79" s="69">
        <v>0.59799999999999998</v>
      </c>
      <c r="U79" s="69">
        <v>0</v>
      </c>
      <c r="V79" s="69">
        <v>0.47199999999999998</v>
      </c>
      <c r="W79" s="71">
        <v>7.1333332999999999E-2</v>
      </c>
      <c r="X79" s="71">
        <v>4.8992776000000002E-2</v>
      </c>
      <c r="Y79" s="69">
        <v>15</v>
      </c>
      <c r="Z79" s="71">
        <v>1.7833333330000001</v>
      </c>
      <c r="AA79" s="71">
        <v>1.224819391</v>
      </c>
    </row>
    <row r="80" spans="1:27">
      <c r="A80" s="72">
        <v>41122</v>
      </c>
      <c r="B80" t="s">
        <v>387</v>
      </c>
      <c r="C80" s="69" t="s">
        <v>388</v>
      </c>
      <c r="D80" s="69" t="s">
        <v>418</v>
      </c>
      <c r="E80" s="69" t="s">
        <v>423</v>
      </c>
      <c r="F80" s="69" t="s">
        <v>420</v>
      </c>
      <c r="G80" s="73" t="str">
        <f t="shared" si="1"/>
        <v>new above</v>
      </c>
      <c r="H80" s="69">
        <v>0</v>
      </c>
      <c r="I80" s="69">
        <v>0</v>
      </c>
      <c r="J80" s="69">
        <v>0</v>
      </c>
      <c r="K80" s="69">
        <v>0</v>
      </c>
      <c r="L80" s="69">
        <v>0</v>
      </c>
      <c r="M80" s="69">
        <v>0</v>
      </c>
      <c r="N80" s="69">
        <v>0</v>
      </c>
      <c r="O80" s="69">
        <v>0</v>
      </c>
      <c r="P80" s="69">
        <v>0</v>
      </c>
      <c r="Q80" s="69">
        <v>0</v>
      </c>
      <c r="R80" s="69">
        <v>8.7999999999999995E-2</v>
      </c>
      <c r="S80" s="69">
        <v>0</v>
      </c>
      <c r="T80" s="69">
        <v>0</v>
      </c>
      <c r="U80" s="69">
        <v>0</v>
      </c>
      <c r="V80" s="69">
        <v>0</v>
      </c>
      <c r="W80" s="71">
        <v>5.8666669999999999E-3</v>
      </c>
      <c r="X80" s="71">
        <v>5.8666669999999999E-3</v>
      </c>
      <c r="Y80" s="69">
        <v>15</v>
      </c>
      <c r="Z80" s="71">
        <v>0.146666667</v>
      </c>
      <c r="AA80" s="71">
        <v>0.146666667</v>
      </c>
    </row>
    <row r="81" spans="1:27">
      <c r="A81" s="72">
        <v>41122</v>
      </c>
      <c r="B81" t="s">
        <v>387</v>
      </c>
      <c r="C81" s="69" t="s">
        <v>388</v>
      </c>
      <c r="D81" s="69" t="s">
        <v>418</v>
      </c>
      <c r="E81" s="69" t="s">
        <v>423</v>
      </c>
      <c r="F81" s="69" t="s">
        <v>421</v>
      </c>
      <c r="G81" s="73" t="str">
        <f t="shared" si="1"/>
        <v>below</v>
      </c>
      <c r="H81" s="69">
        <v>0</v>
      </c>
      <c r="I81" s="69">
        <v>0</v>
      </c>
      <c r="J81" s="69">
        <v>0</v>
      </c>
      <c r="K81" s="69">
        <v>0</v>
      </c>
      <c r="L81" s="69">
        <v>0</v>
      </c>
      <c r="M81" s="69">
        <v>0</v>
      </c>
      <c r="N81" s="69">
        <v>0</v>
      </c>
      <c r="O81" s="69">
        <v>0</v>
      </c>
      <c r="P81" s="69">
        <v>0</v>
      </c>
      <c r="Q81" s="69">
        <v>0</v>
      </c>
      <c r="R81" s="69">
        <v>0.55700000000000005</v>
      </c>
      <c r="S81" s="69">
        <v>0</v>
      </c>
      <c r="T81" s="69">
        <v>0</v>
      </c>
      <c r="U81" s="69">
        <v>0</v>
      </c>
      <c r="V81" s="69">
        <v>0</v>
      </c>
      <c r="W81" s="71">
        <v>3.7133332999999998E-2</v>
      </c>
      <c r="X81" s="71">
        <v>3.7133332999999998E-2</v>
      </c>
      <c r="Y81" s="69">
        <v>15</v>
      </c>
      <c r="Z81" s="71">
        <v>0.92833333299999998</v>
      </c>
      <c r="AA81" s="71">
        <v>0.92833333299999998</v>
      </c>
    </row>
    <row r="82" spans="1:27">
      <c r="A82" s="72">
        <v>41122</v>
      </c>
      <c r="B82" t="s">
        <v>387</v>
      </c>
      <c r="C82" s="69" t="s">
        <v>388</v>
      </c>
      <c r="D82" s="69" t="s">
        <v>418</v>
      </c>
      <c r="E82" s="69" t="s">
        <v>424</v>
      </c>
      <c r="F82" s="69" t="s">
        <v>420</v>
      </c>
      <c r="G82" s="73" t="str">
        <f t="shared" si="1"/>
        <v>new above</v>
      </c>
      <c r="H82" s="69">
        <v>0</v>
      </c>
      <c r="I82" s="69">
        <v>0</v>
      </c>
      <c r="J82" s="69">
        <v>4.1000000000000002E-2</v>
      </c>
      <c r="K82" s="69">
        <v>0</v>
      </c>
      <c r="L82" s="69">
        <v>0</v>
      </c>
      <c r="M82" s="69">
        <v>0</v>
      </c>
      <c r="N82" s="69">
        <v>0</v>
      </c>
      <c r="O82" s="69">
        <v>0</v>
      </c>
      <c r="P82" s="69">
        <v>0</v>
      </c>
      <c r="Q82" s="69">
        <v>0</v>
      </c>
      <c r="R82" s="69">
        <v>0</v>
      </c>
      <c r="S82" s="69">
        <v>0</v>
      </c>
      <c r="T82" s="69">
        <v>0</v>
      </c>
      <c r="U82" s="69">
        <v>0</v>
      </c>
      <c r="V82" s="69">
        <v>0</v>
      </c>
      <c r="W82" s="71">
        <v>2.7333330000000001E-3</v>
      </c>
      <c r="X82" s="71">
        <v>2.7333330000000001E-3</v>
      </c>
      <c r="Y82" s="69">
        <v>15</v>
      </c>
      <c r="Z82" s="71">
        <v>6.8333332999999996E-2</v>
      </c>
      <c r="AA82" s="71">
        <v>6.8333332999999996E-2</v>
      </c>
    </row>
    <row r="83" spans="1:27">
      <c r="A83" s="72">
        <v>41122</v>
      </c>
      <c r="B83" t="s">
        <v>387</v>
      </c>
      <c r="C83" s="69" t="s">
        <v>388</v>
      </c>
      <c r="D83" s="69" t="s">
        <v>418</v>
      </c>
      <c r="E83" s="69" t="s">
        <v>424</v>
      </c>
      <c r="F83" s="69" t="s">
        <v>421</v>
      </c>
      <c r="G83" s="73" t="str">
        <f t="shared" si="1"/>
        <v>below</v>
      </c>
      <c r="H83" s="69">
        <v>0</v>
      </c>
      <c r="I83" s="69">
        <v>0</v>
      </c>
      <c r="J83" s="69">
        <v>0</v>
      </c>
      <c r="K83" s="69">
        <v>0</v>
      </c>
      <c r="L83" s="69">
        <v>0</v>
      </c>
      <c r="M83" s="69">
        <v>0</v>
      </c>
      <c r="N83" s="69">
        <v>0</v>
      </c>
      <c r="O83" s="69">
        <v>0</v>
      </c>
      <c r="P83" s="69">
        <v>0</v>
      </c>
      <c r="Q83" s="69">
        <v>0</v>
      </c>
      <c r="R83" s="69">
        <v>0.47399999999999998</v>
      </c>
      <c r="S83" s="69">
        <v>0</v>
      </c>
      <c r="T83" s="69">
        <v>0</v>
      </c>
      <c r="U83" s="69">
        <v>0</v>
      </c>
      <c r="V83" s="69">
        <v>0</v>
      </c>
      <c r="W83" s="71">
        <v>3.1600000000000003E-2</v>
      </c>
      <c r="X83" s="71">
        <v>3.1600000000000003E-2</v>
      </c>
      <c r="Y83" s="69">
        <v>15</v>
      </c>
      <c r="Z83" s="71">
        <v>0.79</v>
      </c>
      <c r="AA83" s="71">
        <v>0.79</v>
      </c>
    </row>
    <row r="84" spans="1:27">
      <c r="A84" s="72">
        <v>41122</v>
      </c>
      <c r="B84" t="s">
        <v>387</v>
      </c>
      <c r="C84" s="69" t="s">
        <v>388</v>
      </c>
      <c r="D84" s="69" t="s">
        <v>425</v>
      </c>
      <c r="E84" s="69" t="s">
        <v>426</v>
      </c>
      <c r="F84" s="69" t="s">
        <v>427</v>
      </c>
      <c r="G84" s="73" t="str">
        <f t="shared" si="1"/>
        <v/>
      </c>
      <c r="H84" s="69">
        <v>0.30199999999999999</v>
      </c>
      <c r="I84" s="69">
        <v>0</v>
      </c>
      <c r="J84" s="69">
        <v>0</v>
      </c>
      <c r="K84" s="69">
        <v>0</v>
      </c>
      <c r="L84" s="69">
        <v>0.153</v>
      </c>
      <c r="M84" s="69">
        <v>0</v>
      </c>
      <c r="N84" s="69">
        <v>2.1739999999999999</v>
      </c>
      <c r="O84" s="69">
        <v>1.21</v>
      </c>
      <c r="P84" s="69">
        <v>0</v>
      </c>
      <c r="Q84" s="69">
        <v>0</v>
      </c>
      <c r="R84" s="69">
        <v>0</v>
      </c>
      <c r="S84" s="69">
        <v>0</v>
      </c>
      <c r="T84" s="69">
        <v>1.5409999999999999</v>
      </c>
      <c r="U84" s="69">
        <v>0</v>
      </c>
      <c r="V84" s="69">
        <v>0.115</v>
      </c>
      <c r="W84" s="71">
        <v>0.36633333299999998</v>
      </c>
      <c r="X84" s="71">
        <v>0.17835082199999999</v>
      </c>
      <c r="Y84" s="69">
        <v>15</v>
      </c>
      <c r="Z84" s="71">
        <v>9.1583333329999999</v>
      </c>
      <c r="AA84" s="71">
        <v>4.4587705619999998</v>
      </c>
    </row>
    <row r="85" spans="1:27">
      <c r="A85" s="72">
        <v>41122</v>
      </c>
      <c r="B85" t="s">
        <v>387</v>
      </c>
      <c r="C85" s="69" t="s">
        <v>388</v>
      </c>
      <c r="D85" s="69" t="s">
        <v>425</v>
      </c>
      <c r="E85" s="69" t="s">
        <v>428</v>
      </c>
      <c r="F85" s="69" t="s">
        <v>427</v>
      </c>
      <c r="G85" s="73" t="str">
        <f t="shared" si="1"/>
        <v/>
      </c>
      <c r="H85" s="69">
        <v>1.3160000000000001</v>
      </c>
      <c r="I85" s="69">
        <v>0.495</v>
      </c>
      <c r="J85" s="69">
        <v>2.52</v>
      </c>
      <c r="K85" s="69">
        <v>3.2029999999999998</v>
      </c>
      <c r="L85" s="69">
        <v>0.12</v>
      </c>
      <c r="M85" s="69">
        <v>3.03</v>
      </c>
      <c r="N85" s="69">
        <v>4.82</v>
      </c>
      <c r="O85" s="69">
        <v>3.9430000000000001</v>
      </c>
      <c r="P85" s="69">
        <v>3.0129999999999999</v>
      </c>
      <c r="Q85" s="69">
        <v>1.6439999999999999</v>
      </c>
      <c r="R85" s="69">
        <v>2.4750000000000001</v>
      </c>
      <c r="S85" s="69">
        <v>1.151</v>
      </c>
      <c r="T85" s="69">
        <v>1.869</v>
      </c>
      <c r="U85" s="69">
        <v>0.111</v>
      </c>
      <c r="V85" s="69">
        <v>0.55500000000000005</v>
      </c>
      <c r="W85" s="71">
        <v>2.0176666669999999</v>
      </c>
      <c r="X85" s="71">
        <v>0.368662934</v>
      </c>
      <c r="Y85" s="69">
        <v>15</v>
      </c>
      <c r="Z85" s="71">
        <v>50.441666669999996</v>
      </c>
      <c r="AA85" s="71">
        <v>9.2165733440000004</v>
      </c>
    </row>
    <row r="86" spans="1:27">
      <c r="A86" s="72">
        <v>41122</v>
      </c>
      <c r="B86" t="s">
        <v>387</v>
      </c>
      <c r="C86" s="69" t="s">
        <v>388</v>
      </c>
      <c r="D86" s="69" t="s">
        <v>429</v>
      </c>
      <c r="E86" s="69" t="s">
        <v>430</v>
      </c>
      <c r="F86" s="69" t="s">
        <v>431</v>
      </c>
      <c r="G86" s="73" t="str">
        <f t="shared" si="1"/>
        <v>non-vascular</v>
      </c>
      <c r="H86" s="69">
        <v>1.1839999999999999</v>
      </c>
      <c r="I86" s="69">
        <v>0.68799999999999994</v>
      </c>
      <c r="J86" s="69">
        <v>2.9079999999999999</v>
      </c>
      <c r="K86" s="69">
        <v>0.79100000000000004</v>
      </c>
      <c r="L86" s="69">
        <v>0.28499999999999998</v>
      </c>
      <c r="M86" s="69">
        <v>6.1420000000000003</v>
      </c>
      <c r="N86" s="69">
        <v>0.99399999999999999</v>
      </c>
      <c r="O86" s="69">
        <v>1.8129999999999999</v>
      </c>
      <c r="P86" s="69">
        <v>2.254</v>
      </c>
      <c r="Q86" s="69">
        <v>3.7360000000000002</v>
      </c>
      <c r="R86" s="69">
        <v>10.018000000000001</v>
      </c>
      <c r="S86" s="69">
        <v>2.8050000000000002</v>
      </c>
      <c r="T86" s="69">
        <v>0.82799999999999996</v>
      </c>
      <c r="U86" s="69">
        <v>1.1040000000000001</v>
      </c>
      <c r="V86" s="69">
        <v>6.3440000000000003</v>
      </c>
      <c r="W86" s="71">
        <v>2.7929333330000001</v>
      </c>
      <c r="X86" s="71">
        <v>0.70861328999999995</v>
      </c>
      <c r="Y86" s="69">
        <v>15</v>
      </c>
      <c r="Z86" s="71">
        <v>69.823333329999997</v>
      </c>
      <c r="AA86" s="71">
        <v>17.715332249999999</v>
      </c>
    </row>
    <row r="87" spans="1:27">
      <c r="A87" s="72">
        <v>41122</v>
      </c>
      <c r="B87" t="s">
        <v>387</v>
      </c>
      <c r="C87" s="69" t="s">
        <v>432</v>
      </c>
      <c r="D87" s="69" t="s">
        <v>389</v>
      </c>
      <c r="E87" s="69" t="s">
        <v>390</v>
      </c>
      <c r="F87" s="69" t="s">
        <v>391</v>
      </c>
      <c r="G87" s="73" t="str">
        <f t="shared" si="1"/>
        <v>new above</v>
      </c>
      <c r="H87" s="69">
        <v>1.8240000000000001</v>
      </c>
      <c r="I87" s="69">
        <v>0.1</v>
      </c>
      <c r="J87" s="69">
        <v>0.151</v>
      </c>
      <c r="K87" s="69">
        <v>0.77100000000000002</v>
      </c>
      <c r="L87" s="69">
        <v>0.433</v>
      </c>
      <c r="M87" s="69">
        <v>0.20100000000000001</v>
      </c>
      <c r="N87" s="69">
        <v>0</v>
      </c>
      <c r="O87" s="69">
        <v>1.83</v>
      </c>
      <c r="P87" s="69">
        <v>1.5</v>
      </c>
      <c r="Q87" s="69">
        <v>1.6659999999999999</v>
      </c>
      <c r="R87" s="69">
        <v>0</v>
      </c>
      <c r="S87" s="69">
        <v>0</v>
      </c>
      <c r="T87" s="69">
        <v>0</v>
      </c>
      <c r="U87" s="69">
        <v>0</v>
      </c>
      <c r="V87" s="69">
        <v>0</v>
      </c>
      <c r="W87" s="71">
        <v>0.56506666699999997</v>
      </c>
      <c r="X87" s="71">
        <v>0.19231743300000001</v>
      </c>
      <c r="Y87" s="69">
        <v>15</v>
      </c>
      <c r="Z87" s="71">
        <v>14.126666670000001</v>
      </c>
      <c r="AA87" s="71">
        <v>4.8079358179999998</v>
      </c>
    </row>
    <row r="88" spans="1:27">
      <c r="A88" s="72">
        <v>41122</v>
      </c>
      <c r="B88" t="s">
        <v>387</v>
      </c>
      <c r="C88" s="69" t="s">
        <v>432</v>
      </c>
      <c r="D88" s="69" t="s">
        <v>389</v>
      </c>
      <c r="E88" s="69" t="s">
        <v>390</v>
      </c>
      <c r="F88" s="69" t="s">
        <v>392</v>
      </c>
      <c r="G88" s="73" t="str">
        <f t="shared" si="1"/>
        <v>new above</v>
      </c>
      <c r="H88" s="69">
        <v>1.222</v>
      </c>
      <c r="I88" s="69">
        <v>8.5000000000000006E-2</v>
      </c>
      <c r="J88" s="69">
        <v>8.2000000000000003E-2</v>
      </c>
      <c r="K88" s="69">
        <v>0.27100000000000002</v>
      </c>
      <c r="L88" s="69">
        <v>0.22700000000000001</v>
      </c>
      <c r="M88" s="69">
        <v>0.125</v>
      </c>
      <c r="N88" s="69">
        <v>0</v>
      </c>
      <c r="O88" s="69">
        <v>1.905</v>
      </c>
      <c r="P88" s="69">
        <v>2.145</v>
      </c>
      <c r="Q88" s="69">
        <v>1.843</v>
      </c>
      <c r="R88" s="69">
        <v>0</v>
      </c>
      <c r="S88" s="69">
        <v>0</v>
      </c>
      <c r="T88" s="69">
        <v>0</v>
      </c>
      <c r="U88" s="69">
        <v>0</v>
      </c>
      <c r="V88" s="69">
        <v>0</v>
      </c>
      <c r="W88" s="71">
        <v>0.52700000000000002</v>
      </c>
      <c r="X88" s="71">
        <v>0.20826485</v>
      </c>
      <c r="Y88" s="69">
        <v>15</v>
      </c>
      <c r="Z88" s="71">
        <v>13.175000000000001</v>
      </c>
      <c r="AA88" s="71">
        <v>5.2066212419999998</v>
      </c>
    </row>
    <row r="89" spans="1:27">
      <c r="A89" s="72">
        <v>41122</v>
      </c>
      <c r="B89" t="s">
        <v>387</v>
      </c>
      <c r="C89" s="69" t="s">
        <v>432</v>
      </c>
      <c r="D89" s="69" t="s">
        <v>389</v>
      </c>
      <c r="E89" s="69" t="s">
        <v>390</v>
      </c>
      <c r="F89" s="69" t="s">
        <v>393</v>
      </c>
      <c r="G89" s="73" t="str">
        <f t="shared" si="1"/>
        <v>new above</v>
      </c>
      <c r="H89" s="69">
        <v>0</v>
      </c>
      <c r="I89" s="69">
        <v>0</v>
      </c>
      <c r="J89" s="69">
        <v>0</v>
      </c>
      <c r="K89" s="69">
        <v>0</v>
      </c>
      <c r="L89" s="69">
        <v>0</v>
      </c>
      <c r="M89" s="69">
        <v>0</v>
      </c>
      <c r="N89" s="69">
        <v>0</v>
      </c>
      <c r="O89" s="69">
        <v>0</v>
      </c>
      <c r="P89" s="69">
        <v>0</v>
      </c>
      <c r="Q89" s="69">
        <v>0</v>
      </c>
      <c r="R89" s="69">
        <v>0</v>
      </c>
      <c r="S89" s="69">
        <v>0</v>
      </c>
      <c r="T89" s="69">
        <v>0</v>
      </c>
      <c r="U89" s="69">
        <v>0</v>
      </c>
      <c r="V89" s="69">
        <v>0</v>
      </c>
      <c r="W89" s="71">
        <v>0</v>
      </c>
      <c r="X89" s="71">
        <v>0</v>
      </c>
      <c r="Y89" s="69">
        <v>15</v>
      </c>
      <c r="Z89" s="71">
        <v>0</v>
      </c>
      <c r="AA89" s="71">
        <v>0</v>
      </c>
    </row>
    <row r="90" spans="1:27">
      <c r="A90" s="72">
        <v>41122</v>
      </c>
      <c r="B90" t="s">
        <v>387</v>
      </c>
      <c r="C90" s="69" t="s">
        <v>432</v>
      </c>
      <c r="D90" s="69" t="s">
        <v>389</v>
      </c>
      <c r="E90" s="69" t="s">
        <v>390</v>
      </c>
      <c r="F90" s="69" t="s">
        <v>394</v>
      </c>
      <c r="G90" s="73" t="str">
        <f t="shared" si="1"/>
        <v>below</v>
      </c>
      <c r="H90" s="69">
        <v>2.36</v>
      </c>
      <c r="I90" s="69">
        <v>0.33100000000000002</v>
      </c>
      <c r="J90" s="69">
        <v>9.0999999999999998E-2</v>
      </c>
      <c r="K90" s="69">
        <v>1.0429999999999999</v>
      </c>
      <c r="L90" s="69">
        <v>0.96499999999999997</v>
      </c>
      <c r="M90" s="69">
        <v>0.155</v>
      </c>
      <c r="N90" s="69">
        <v>0</v>
      </c>
      <c r="O90" s="69">
        <v>4.8840000000000003</v>
      </c>
      <c r="P90" s="69">
        <v>5.0830000000000002</v>
      </c>
      <c r="Q90" s="69">
        <v>3.2480000000000002</v>
      </c>
      <c r="R90" s="69">
        <v>0</v>
      </c>
      <c r="S90" s="69">
        <v>0</v>
      </c>
      <c r="T90" s="69">
        <v>0</v>
      </c>
      <c r="U90" s="69">
        <v>0</v>
      </c>
      <c r="V90" s="69">
        <v>0</v>
      </c>
      <c r="W90" s="71">
        <v>1.2106666669999999</v>
      </c>
      <c r="X90" s="71">
        <v>0.46794730699999998</v>
      </c>
      <c r="Y90" s="69">
        <v>15</v>
      </c>
      <c r="Z90" s="71">
        <v>30.266666669999999</v>
      </c>
      <c r="AA90" s="71">
        <v>11.69868269</v>
      </c>
    </row>
    <row r="91" spans="1:27">
      <c r="A91" s="72">
        <v>41122</v>
      </c>
      <c r="B91" t="s">
        <v>387</v>
      </c>
      <c r="C91" s="69" t="s">
        <v>432</v>
      </c>
      <c r="D91" s="69" t="s">
        <v>389</v>
      </c>
      <c r="E91" s="69" t="s">
        <v>390</v>
      </c>
      <c r="F91" s="69" t="s">
        <v>395</v>
      </c>
      <c r="G91" s="73" t="str">
        <f t="shared" si="1"/>
        <v>litter</v>
      </c>
      <c r="H91" s="69">
        <v>1.36</v>
      </c>
      <c r="I91" s="69">
        <v>0.46</v>
      </c>
      <c r="J91" s="69">
        <v>0.442</v>
      </c>
      <c r="K91" s="69">
        <v>3.0139999999999998</v>
      </c>
      <c r="L91" s="69">
        <v>2.0299999999999998</v>
      </c>
      <c r="M91" s="69">
        <v>0.70499999999999996</v>
      </c>
      <c r="N91" s="69">
        <v>0</v>
      </c>
      <c r="O91" s="69">
        <v>16.760000000000002</v>
      </c>
      <c r="P91" s="69">
        <v>9.0939999999999994</v>
      </c>
      <c r="Q91" s="69">
        <v>6.2720000000000002</v>
      </c>
      <c r="R91" s="69">
        <v>0</v>
      </c>
      <c r="S91" s="69">
        <v>0</v>
      </c>
      <c r="T91" s="69">
        <v>0</v>
      </c>
      <c r="U91" s="69">
        <v>0</v>
      </c>
      <c r="V91" s="69">
        <v>0</v>
      </c>
      <c r="W91" s="71">
        <v>2.6758000000000002</v>
      </c>
      <c r="X91" s="71">
        <v>1.2179149250000001</v>
      </c>
      <c r="Y91" s="69">
        <v>15</v>
      </c>
      <c r="Z91" s="71">
        <v>66.894999999999996</v>
      </c>
      <c r="AA91" s="71">
        <v>30.447873120000001</v>
      </c>
    </row>
    <row r="92" spans="1:27">
      <c r="A92" s="72">
        <v>41122</v>
      </c>
      <c r="B92" t="s">
        <v>387</v>
      </c>
      <c r="C92" s="69" t="s">
        <v>432</v>
      </c>
      <c r="D92" s="69" t="s">
        <v>389</v>
      </c>
      <c r="E92" s="69" t="s">
        <v>390</v>
      </c>
      <c r="F92" s="69" t="s">
        <v>396</v>
      </c>
      <c r="G92" s="73" t="str">
        <f t="shared" si="1"/>
        <v>new above</v>
      </c>
      <c r="H92" s="69">
        <v>0</v>
      </c>
      <c r="I92" s="69">
        <v>0</v>
      </c>
      <c r="J92" s="69">
        <v>0</v>
      </c>
      <c r="K92" s="69">
        <v>0</v>
      </c>
      <c r="L92" s="69">
        <v>0</v>
      </c>
      <c r="M92" s="69">
        <v>0</v>
      </c>
      <c r="N92" s="69">
        <v>0</v>
      </c>
      <c r="O92" s="69">
        <v>0</v>
      </c>
      <c r="P92" s="69">
        <v>0.10100000000000001</v>
      </c>
      <c r="Q92" s="69">
        <v>0.14099999999999999</v>
      </c>
      <c r="R92" s="69">
        <v>0</v>
      </c>
      <c r="S92" s="69">
        <v>0</v>
      </c>
      <c r="T92" s="69">
        <v>0</v>
      </c>
      <c r="U92" s="69">
        <v>0</v>
      </c>
      <c r="V92" s="69">
        <v>0</v>
      </c>
      <c r="W92" s="71">
        <v>1.6133333E-2</v>
      </c>
      <c r="X92" s="71">
        <v>1.1164939E-2</v>
      </c>
      <c r="Y92" s="69">
        <v>15</v>
      </c>
      <c r="Z92" s="71">
        <v>0.40333333300000002</v>
      </c>
      <c r="AA92" s="71">
        <v>0.27912348599999998</v>
      </c>
    </row>
    <row r="93" spans="1:27">
      <c r="A93" s="72">
        <v>41122</v>
      </c>
      <c r="B93" t="s">
        <v>387</v>
      </c>
      <c r="C93" s="69" t="s">
        <v>432</v>
      </c>
      <c r="D93" s="69" t="s">
        <v>389</v>
      </c>
      <c r="E93" s="69" t="s">
        <v>397</v>
      </c>
      <c r="F93" s="69" t="s">
        <v>391</v>
      </c>
      <c r="G93" s="73" t="str">
        <f t="shared" si="1"/>
        <v>new above</v>
      </c>
      <c r="H93" s="69">
        <v>0</v>
      </c>
      <c r="I93" s="69">
        <v>0</v>
      </c>
      <c r="J93" s="69">
        <v>0</v>
      </c>
      <c r="K93" s="69">
        <v>0</v>
      </c>
      <c r="L93" s="69">
        <v>0</v>
      </c>
      <c r="M93" s="69">
        <v>0</v>
      </c>
      <c r="N93" s="69">
        <v>0.83</v>
      </c>
      <c r="O93" s="69">
        <v>0</v>
      </c>
      <c r="P93" s="69">
        <v>0.14699999999999999</v>
      </c>
      <c r="Q93" s="69">
        <v>0.13100000000000001</v>
      </c>
      <c r="R93" s="69">
        <v>0.88500000000000001</v>
      </c>
      <c r="S93" s="69">
        <v>0.316</v>
      </c>
      <c r="T93" s="69">
        <v>0.53900000000000003</v>
      </c>
      <c r="U93" s="69">
        <v>0.83699999999999997</v>
      </c>
      <c r="V93" s="69">
        <v>1.778</v>
      </c>
      <c r="W93" s="71">
        <v>0.36420000000000002</v>
      </c>
      <c r="X93" s="71">
        <v>0.134048683</v>
      </c>
      <c r="Y93" s="69">
        <v>15</v>
      </c>
      <c r="Z93" s="71">
        <v>9.1050000000000004</v>
      </c>
      <c r="AA93" s="71">
        <v>3.351217085</v>
      </c>
    </row>
    <row r="94" spans="1:27">
      <c r="A94" s="72">
        <v>41122</v>
      </c>
      <c r="B94" t="s">
        <v>387</v>
      </c>
      <c r="C94" s="69" t="s">
        <v>432</v>
      </c>
      <c r="D94" s="69" t="s">
        <v>389</v>
      </c>
      <c r="E94" s="69" t="s">
        <v>397</v>
      </c>
      <c r="F94" s="69" t="s">
        <v>392</v>
      </c>
      <c r="G94" s="73" t="str">
        <f t="shared" si="1"/>
        <v>new above</v>
      </c>
      <c r="H94" s="69">
        <v>0</v>
      </c>
      <c r="I94" s="69">
        <v>0</v>
      </c>
      <c r="J94" s="69">
        <v>0</v>
      </c>
      <c r="K94" s="69">
        <v>0</v>
      </c>
      <c r="L94" s="69">
        <v>0</v>
      </c>
      <c r="M94" s="69">
        <v>0</v>
      </c>
      <c r="N94" s="69">
        <v>0.11700000000000001</v>
      </c>
      <c r="O94" s="69">
        <v>0</v>
      </c>
      <c r="P94" s="69">
        <v>0.122</v>
      </c>
      <c r="Q94" s="69">
        <v>8.7999999999999995E-2</v>
      </c>
      <c r="R94" s="69">
        <v>0.51500000000000001</v>
      </c>
      <c r="S94" s="69">
        <v>0.245</v>
      </c>
      <c r="T94" s="69">
        <v>0.17699999999999999</v>
      </c>
      <c r="U94" s="69">
        <v>0.38100000000000001</v>
      </c>
      <c r="V94" s="69">
        <v>0.79700000000000004</v>
      </c>
      <c r="W94" s="71">
        <v>0.1628</v>
      </c>
      <c r="X94" s="71">
        <v>6.0777048E-2</v>
      </c>
      <c r="Y94" s="69">
        <v>15</v>
      </c>
      <c r="Z94" s="71">
        <v>4.07</v>
      </c>
      <c r="AA94" s="71">
        <v>1.5194261920000001</v>
      </c>
    </row>
    <row r="95" spans="1:27">
      <c r="A95" s="72">
        <v>41122</v>
      </c>
      <c r="B95" t="s">
        <v>387</v>
      </c>
      <c r="C95" s="69" t="s">
        <v>432</v>
      </c>
      <c r="D95" s="69" t="s">
        <v>389</v>
      </c>
      <c r="E95" s="69" t="s">
        <v>397</v>
      </c>
      <c r="F95" s="69" t="s">
        <v>393</v>
      </c>
      <c r="G95" s="73" t="str">
        <f t="shared" si="1"/>
        <v>new above</v>
      </c>
      <c r="H95" s="69">
        <v>0</v>
      </c>
      <c r="I95" s="69">
        <v>0</v>
      </c>
      <c r="J95" s="69">
        <v>0</v>
      </c>
      <c r="K95" s="69">
        <v>0</v>
      </c>
      <c r="L95" s="69">
        <v>0</v>
      </c>
      <c r="M95" s="69">
        <v>0</v>
      </c>
      <c r="N95" s="69">
        <v>0.11799999999999999</v>
      </c>
      <c r="O95" s="69">
        <v>0</v>
      </c>
      <c r="P95" s="69">
        <v>4.8000000000000001E-2</v>
      </c>
      <c r="Q95" s="69">
        <v>4.9000000000000002E-2</v>
      </c>
      <c r="R95" s="69">
        <v>8.3000000000000004E-2</v>
      </c>
      <c r="S95" s="69">
        <v>0.19900000000000001</v>
      </c>
      <c r="T95" s="69">
        <v>0.14699999999999999</v>
      </c>
      <c r="U95" s="69">
        <v>0.19400000000000001</v>
      </c>
      <c r="V95" s="69">
        <v>0.26100000000000001</v>
      </c>
      <c r="W95" s="71">
        <v>7.3266666999999994E-2</v>
      </c>
      <c r="X95" s="71">
        <v>2.3090395E-2</v>
      </c>
      <c r="Y95" s="69">
        <v>15</v>
      </c>
      <c r="Z95" s="71">
        <v>1.8316666669999999</v>
      </c>
      <c r="AA95" s="71">
        <v>0.57725987899999998</v>
      </c>
    </row>
    <row r="96" spans="1:27">
      <c r="A96" s="72">
        <v>41122</v>
      </c>
      <c r="B96" t="s">
        <v>387</v>
      </c>
      <c r="C96" s="69" t="s">
        <v>432</v>
      </c>
      <c r="D96" s="69" t="s">
        <v>389</v>
      </c>
      <c r="E96" s="69" t="s">
        <v>397</v>
      </c>
      <c r="F96" s="69" t="s">
        <v>394</v>
      </c>
      <c r="G96" s="73" t="str">
        <f t="shared" si="1"/>
        <v>below</v>
      </c>
      <c r="H96" s="69">
        <v>0</v>
      </c>
      <c r="I96" s="69">
        <v>0</v>
      </c>
      <c r="J96" s="69">
        <v>0</v>
      </c>
      <c r="K96" s="69">
        <v>0</v>
      </c>
      <c r="L96" s="69">
        <v>0</v>
      </c>
      <c r="M96" s="69">
        <v>0</v>
      </c>
      <c r="N96" s="69">
        <v>3.734</v>
      </c>
      <c r="O96" s="69">
        <v>0</v>
      </c>
      <c r="P96" s="69">
        <v>0.48799999999999999</v>
      </c>
      <c r="Q96" s="69">
        <v>0.36399999999999999</v>
      </c>
      <c r="R96" s="69">
        <v>9.4629999999999992</v>
      </c>
      <c r="S96" s="69">
        <v>5.9550000000000001</v>
      </c>
      <c r="T96" s="69">
        <v>4.8479999999999999</v>
      </c>
      <c r="U96" s="69">
        <v>2.2530000000000001</v>
      </c>
      <c r="V96" s="69">
        <v>5.4080000000000004</v>
      </c>
      <c r="W96" s="71">
        <v>2.1675333330000002</v>
      </c>
      <c r="X96" s="71">
        <v>0.77667286700000004</v>
      </c>
      <c r="Y96" s="69">
        <v>15</v>
      </c>
      <c r="Z96" s="71">
        <v>54.188333329999999</v>
      </c>
      <c r="AA96" s="71">
        <v>19.41682166</v>
      </c>
    </row>
    <row r="97" spans="1:27">
      <c r="A97" s="72">
        <v>41122</v>
      </c>
      <c r="B97" t="s">
        <v>387</v>
      </c>
      <c r="C97" s="69" t="s">
        <v>432</v>
      </c>
      <c r="D97" s="69" t="s">
        <v>389</v>
      </c>
      <c r="E97" s="69" t="s">
        <v>397</v>
      </c>
      <c r="F97" s="69" t="s">
        <v>395</v>
      </c>
      <c r="G97" s="73" t="str">
        <f t="shared" si="1"/>
        <v>litter</v>
      </c>
      <c r="H97" s="69">
        <v>0</v>
      </c>
      <c r="I97" s="69">
        <v>0</v>
      </c>
      <c r="J97" s="69">
        <v>0</v>
      </c>
      <c r="K97" s="69">
        <v>0</v>
      </c>
      <c r="L97" s="69">
        <v>0</v>
      </c>
      <c r="M97" s="69">
        <v>0</v>
      </c>
      <c r="N97" s="69">
        <v>1.79</v>
      </c>
      <c r="O97" s="69">
        <v>0</v>
      </c>
      <c r="P97" s="69">
        <v>0.70399999999999996</v>
      </c>
      <c r="Q97" s="69">
        <v>0.59899999999999998</v>
      </c>
      <c r="R97" s="69">
        <v>4.3230000000000004</v>
      </c>
      <c r="S97" s="69">
        <v>5.3109999999999999</v>
      </c>
      <c r="T97" s="69">
        <v>5.4950000000000001</v>
      </c>
      <c r="U97" s="69">
        <v>2.589</v>
      </c>
      <c r="V97" s="69">
        <v>5.2619999999999996</v>
      </c>
      <c r="W97" s="71">
        <v>1.7382</v>
      </c>
      <c r="X97" s="71">
        <v>0.57825710399999997</v>
      </c>
      <c r="Y97" s="69">
        <v>15</v>
      </c>
      <c r="Z97" s="71">
        <v>43.454999999999998</v>
      </c>
      <c r="AA97" s="71">
        <v>14.4564276</v>
      </c>
    </row>
    <row r="98" spans="1:27">
      <c r="A98" s="72">
        <v>41122</v>
      </c>
      <c r="B98" t="s">
        <v>387</v>
      </c>
      <c r="C98" s="69" t="s">
        <v>432</v>
      </c>
      <c r="D98" s="69" t="s">
        <v>389</v>
      </c>
      <c r="E98" s="69" t="s">
        <v>398</v>
      </c>
      <c r="F98" s="69" t="s">
        <v>391</v>
      </c>
      <c r="G98" s="73" t="str">
        <f t="shared" si="1"/>
        <v>new above</v>
      </c>
      <c r="H98" s="69">
        <v>0</v>
      </c>
      <c r="I98" s="69">
        <v>0</v>
      </c>
      <c r="J98" s="69">
        <v>8.3000000000000004E-2</v>
      </c>
      <c r="K98" s="69">
        <v>0</v>
      </c>
      <c r="L98" s="69">
        <v>0</v>
      </c>
      <c r="M98" s="69">
        <v>0</v>
      </c>
      <c r="N98" s="69">
        <v>0</v>
      </c>
      <c r="O98" s="69">
        <v>0</v>
      </c>
      <c r="P98" s="69">
        <v>0</v>
      </c>
      <c r="Q98" s="69">
        <v>0</v>
      </c>
      <c r="R98" s="69">
        <v>0.04</v>
      </c>
      <c r="S98" s="69">
        <v>0</v>
      </c>
      <c r="T98" s="69">
        <v>0.40500000000000003</v>
      </c>
      <c r="U98" s="69">
        <v>9.4E-2</v>
      </c>
      <c r="V98" s="69">
        <v>0.64100000000000001</v>
      </c>
      <c r="W98" s="71">
        <v>8.4199999999999997E-2</v>
      </c>
      <c r="X98" s="71">
        <v>4.8101401000000002E-2</v>
      </c>
      <c r="Y98" s="69">
        <v>15</v>
      </c>
      <c r="Z98" s="71">
        <v>2.105</v>
      </c>
      <c r="AA98" s="71">
        <v>1.2025350210000001</v>
      </c>
    </row>
    <row r="99" spans="1:27">
      <c r="A99" s="72">
        <v>41122</v>
      </c>
      <c r="B99" t="s">
        <v>387</v>
      </c>
      <c r="C99" s="69" t="s">
        <v>432</v>
      </c>
      <c r="D99" s="69" t="s">
        <v>389</v>
      </c>
      <c r="E99" s="69" t="s">
        <v>398</v>
      </c>
      <c r="F99" s="69" t="s">
        <v>392</v>
      </c>
      <c r="G99" s="73" t="str">
        <f t="shared" si="1"/>
        <v>new above</v>
      </c>
      <c r="H99" s="69">
        <v>0</v>
      </c>
      <c r="I99" s="69">
        <v>0</v>
      </c>
      <c r="J99" s="69">
        <v>3.4000000000000002E-2</v>
      </c>
      <c r="K99" s="69">
        <v>0</v>
      </c>
      <c r="L99" s="69">
        <v>0</v>
      </c>
      <c r="M99" s="69">
        <v>0</v>
      </c>
      <c r="N99" s="69">
        <v>0</v>
      </c>
      <c r="O99" s="69">
        <v>0</v>
      </c>
      <c r="P99" s="69">
        <v>0</v>
      </c>
      <c r="Q99" s="69">
        <v>0</v>
      </c>
      <c r="R99" s="69">
        <v>1.9E-2</v>
      </c>
      <c r="S99" s="69">
        <v>0</v>
      </c>
      <c r="T99" s="69">
        <v>8.5000000000000006E-2</v>
      </c>
      <c r="U99" s="69">
        <v>0.03</v>
      </c>
      <c r="V99" s="69">
        <v>7.3999999999999996E-2</v>
      </c>
      <c r="W99" s="71">
        <v>1.6133333E-2</v>
      </c>
      <c r="X99" s="71">
        <v>7.3074430000000003E-3</v>
      </c>
      <c r="Y99" s="69">
        <v>15</v>
      </c>
      <c r="Z99" s="71">
        <v>0.40333333300000002</v>
      </c>
      <c r="AA99" s="71">
        <v>0.182686087</v>
      </c>
    </row>
    <row r="100" spans="1:27">
      <c r="A100" s="72">
        <v>41122</v>
      </c>
      <c r="B100" t="s">
        <v>387</v>
      </c>
      <c r="C100" s="69" t="s">
        <v>432</v>
      </c>
      <c r="D100" s="69" t="s">
        <v>389</v>
      </c>
      <c r="E100" s="69" t="s">
        <v>398</v>
      </c>
      <c r="F100" s="69" t="s">
        <v>393</v>
      </c>
      <c r="G100" s="73" t="str">
        <f t="shared" si="1"/>
        <v>new above</v>
      </c>
      <c r="H100" s="69">
        <v>0</v>
      </c>
      <c r="I100" s="69">
        <v>0</v>
      </c>
      <c r="J100" s="69">
        <v>0</v>
      </c>
      <c r="K100" s="69">
        <v>0</v>
      </c>
      <c r="L100" s="69">
        <v>0</v>
      </c>
      <c r="M100" s="69">
        <v>0</v>
      </c>
      <c r="N100" s="69">
        <v>0</v>
      </c>
      <c r="O100" s="69">
        <v>0</v>
      </c>
      <c r="P100" s="69">
        <v>0</v>
      </c>
      <c r="Q100" s="69">
        <v>0</v>
      </c>
      <c r="R100" s="69">
        <v>0</v>
      </c>
      <c r="S100" s="69">
        <v>0</v>
      </c>
      <c r="T100" s="69">
        <v>0</v>
      </c>
      <c r="U100" s="69">
        <v>0</v>
      </c>
      <c r="V100" s="69">
        <v>0</v>
      </c>
      <c r="W100" s="71">
        <v>0</v>
      </c>
      <c r="X100" s="71">
        <v>0</v>
      </c>
      <c r="Y100" s="69">
        <v>15</v>
      </c>
      <c r="Z100" s="71">
        <v>0</v>
      </c>
      <c r="AA100" s="71">
        <v>0</v>
      </c>
    </row>
    <row r="101" spans="1:27">
      <c r="A101" s="72">
        <v>41122</v>
      </c>
      <c r="B101" t="s">
        <v>387</v>
      </c>
      <c r="C101" s="69" t="s">
        <v>432</v>
      </c>
      <c r="D101" s="69" t="s">
        <v>389</v>
      </c>
      <c r="E101" s="69" t="s">
        <v>398</v>
      </c>
      <c r="F101" s="69" t="s">
        <v>394</v>
      </c>
      <c r="G101" s="73" t="str">
        <f t="shared" si="1"/>
        <v>below</v>
      </c>
      <c r="H101" s="69">
        <v>0</v>
      </c>
      <c r="I101" s="69">
        <v>0</v>
      </c>
      <c r="J101" s="69">
        <v>0.20799999999999999</v>
      </c>
      <c r="K101" s="69">
        <v>0</v>
      </c>
      <c r="L101" s="69">
        <v>0</v>
      </c>
      <c r="M101" s="69">
        <v>0</v>
      </c>
      <c r="N101" s="69">
        <v>0</v>
      </c>
      <c r="O101" s="69">
        <v>0</v>
      </c>
      <c r="P101" s="69">
        <v>0</v>
      </c>
      <c r="Q101" s="69">
        <v>0</v>
      </c>
      <c r="R101" s="69">
        <v>0.02</v>
      </c>
      <c r="S101" s="69">
        <v>0</v>
      </c>
      <c r="T101" s="69">
        <v>0.32300000000000001</v>
      </c>
      <c r="U101" s="69">
        <v>0.3</v>
      </c>
      <c r="V101" s="69">
        <v>0.26300000000000001</v>
      </c>
      <c r="W101" s="71">
        <v>7.4266666999999995E-2</v>
      </c>
      <c r="X101" s="71">
        <v>3.2691117999999998E-2</v>
      </c>
      <c r="Y101" s="69">
        <v>15</v>
      </c>
      <c r="Z101" s="71">
        <v>1.856666667</v>
      </c>
      <c r="AA101" s="71">
        <v>0.81727795400000003</v>
      </c>
    </row>
    <row r="102" spans="1:27">
      <c r="A102" s="72">
        <v>41122</v>
      </c>
      <c r="B102" t="s">
        <v>387</v>
      </c>
      <c r="C102" s="69" t="s">
        <v>432</v>
      </c>
      <c r="D102" s="69" t="s">
        <v>389</v>
      </c>
      <c r="E102" s="69" t="s">
        <v>398</v>
      </c>
      <c r="F102" s="69" t="s">
        <v>395</v>
      </c>
      <c r="G102" s="73" t="str">
        <f t="shared" si="1"/>
        <v>litter</v>
      </c>
      <c r="H102" s="69">
        <v>0</v>
      </c>
      <c r="I102" s="69">
        <v>0</v>
      </c>
      <c r="J102" s="69">
        <v>0.23400000000000001</v>
      </c>
      <c r="K102" s="69">
        <v>0</v>
      </c>
      <c r="L102" s="69">
        <v>0</v>
      </c>
      <c r="M102" s="69">
        <v>0</v>
      </c>
      <c r="N102" s="69">
        <v>0</v>
      </c>
      <c r="O102" s="69">
        <v>0</v>
      </c>
      <c r="P102" s="69">
        <v>0</v>
      </c>
      <c r="Q102" s="69">
        <v>0</v>
      </c>
      <c r="R102" s="69">
        <v>0.14099999999999999</v>
      </c>
      <c r="S102" s="69">
        <v>0</v>
      </c>
      <c r="T102" s="69">
        <v>0.79300000000000004</v>
      </c>
      <c r="U102" s="69">
        <v>0.59099999999999997</v>
      </c>
      <c r="V102" s="69">
        <v>0.67700000000000005</v>
      </c>
      <c r="W102" s="71">
        <v>0.16239999999999999</v>
      </c>
      <c r="X102" s="71">
        <v>7.2882476000000002E-2</v>
      </c>
      <c r="Y102" s="69">
        <v>15</v>
      </c>
      <c r="Z102" s="71">
        <v>4.0599999999999996</v>
      </c>
      <c r="AA102" s="71">
        <v>1.8220618879999999</v>
      </c>
    </row>
    <row r="103" spans="1:27">
      <c r="A103" s="72">
        <v>41122</v>
      </c>
      <c r="B103" t="s">
        <v>387</v>
      </c>
      <c r="C103" s="69" t="s">
        <v>432</v>
      </c>
      <c r="D103" s="69" t="s">
        <v>389</v>
      </c>
      <c r="E103" s="69" t="s">
        <v>433</v>
      </c>
      <c r="F103" s="69" t="s">
        <v>391</v>
      </c>
      <c r="G103" s="73" t="str">
        <f t="shared" si="1"/>
        <v>new above</v>
      </c>
      <c r="H103" s="69">
        <v>0.32100000000000001</v>
      </c>
      <c r="I103" s="69">
        <v>0.21299999999999999</v>
      </c>
      <c r="J103" s="69">
        <v>0</v>
      </c>
      <c r="K103" s="69">
        <v>0</v>
      </c>
      <c r="L103" s="69">
        <v>0</v>
      </c>
      <c r="M103" s="69">
        <v>0</v>
      </c>
      <c r="N103" s="69">
        <v>0</v>
      </c>
      <c r="O103" s="69">
        <v>0</v>
      </c>
      <c r="P103" s="69">
        <v>0</v>
      </c>
      <c r="Q103" s="69">
        <v>0</v>
      </c>
      <c r="R103" s="69">
        <v>0</v>
      </c>
      <c r="S103" s="69">
        <v>0.78500000000000003</v>
      </c>
      <c r="T103" s="69">
        <v>0</v>
      </c>
      <c r="U103" s="69">
        <v>0</v>
      </c>
      <c r="V103" s="69">
        <v>0</v>
      </c>
      <c r="W103" s="71">
        <v>8.7933333000000002E-2</v>
      </c>
      <c r="X103" s="71">
        <v>5.5577098999999998E-2</v>
      </c>
      <c r="Y103" s="69">
        <v>15</v>
      </c>
      <c r="Z103" s="71">
        <v>2.1983333329999999</v>
      </c>
      <c r="AA103" s="71">
        <v>1.389427483</v>
      </c>
    </row>
    <row r="104" spans="1:27">
      <c r="A104" s="72">
        <v>41122</v>
      </c>
      <c r="B104" t="s">
        <v>387</v>
      </c>
      <c r="C104" s="69" t="s">
        <v>432</v>
      </c>
      <c r="D104" s="69" t="s">
        <v>389</v>
      </c>
      <c r="E104" s="69" t="s">
        <v>433</v>
      </c>
      <c r="F104" s="69" t="s">
        <v>392</v>
      </c>
      <c r="G104" s="73" t="str">
        <f t="shared" si="1"/>
        <v>new above</v>
      </c>
      <c r="H104" s="69">
        <v>0</v>
      </c>
      <c r="I104" s="69">
        <v>4.8000000000000001E-2</v>
      </c>
      <c r="J104" s="69">
        <v>0</v>
      </c>
      <c r="K104" s="69">
        <v>0</v>
      </c>
      <c r="L104" s="69">
        <v>0</v>
      </c>
      <c r="M104" s="69">
        <v>0</v>
      </c>
      <c r="N104" s="69">
        <v>0</v>
      </c>
      <c r="O104" s="69">
        <v>0</v>
      </c>
      <c r="P104" s="69">
        <v>0</v>
      </c>
      <c r="Q104" s="69">
        <v>0</v>
      </c>
      <c r="R104" s="69">
        <v>0</v>
      </c>
      <c r="S104" s="69">
        <v>0</v>
      </c>
      <c r="T104" s="69">
        <v>0</v>
      </c>
      <c r="U104" s="69">
        <v>0</v>
      </c>
      <c r="V104" s="69">
        <v>0</v>
      </c>
      <c r="W104" s="71">
        <v>3.2000000000000002E-3</v>
      </c>
      <c r="X104" s="71">
        <v>3.2000000000000002E-3</v>
      </c>
      <c r="Y104" s="69">
        <v>15</v>
      </c>
      <c r="Z104" s="71">
        <v>0.08</v>
      </c>
      <c r="AA104" s="71">
        <v>0.08</v>
      </c>
    </row>
    <row r="105" spans="1:27">
      <c r="A105" s="72">
        <v>41122</v>
      </c>
      <c r="B105" t="s">
        <v>387</v>
      </c>
      <c r="C105" s="69" t="s">
        <v>432</v>
      </c>
      <c r="D105" s="69" t="s">
        <v>389</v>
      </c>
      <c r="E105" s="69" t="s">
        <v>433</v>
      </c>
      <c r="F105" s="69" t="s">
        <v>393</v>
      </c>
      <c r="G105" s="73" t="str">
        <f t="shared" si="1"/>
        <v>new above</v>
      </c>
      <c r="H105" s="69">
        <v>0</v>
      </c>
      <c r="I105" s="69">
        <v>0</v>
      </c>
      <c r="J105" s="69">
        <v>0</v>
      </c>
      <c r="K105" s="69">
        <v>0</v>
      </c>
      <c r="L105" s="69">
        <v>0</v>
      </c>
      <c r="M105" s="69">
        <v>0</v>
      </c>
      <c r="N105" s="69">
        <v>0</v>
      </c>
      <c r="O105" s="69">
        <v>0</v>
      </c>
      <c r="P105" s="69">
        <v>0</v>
      </c>
      <c r="Q105" s="69">
        <v>0</v>
      </c>
      <c r="R105" s="69">
        <v>0</v>
      </c>
      <c r="S105" s="69">
        <v>0.312</v>
      </c>
      <c r="T105" s="69">
        <v>0</v>
      </c>
      <c r="U105" s="69">
        <v>0</v>
      </c>
      <c r="V105" s="69">
        <v>0</v>
      </c>
      <c r="W105" s="71">
        <v>2.0799999999999999E-2</v>
      </c>
      <c r="X105" s="71">
        <v>2.0799999999999999E-2</v>
      </c>
      <c r="Y105" s="69">
        <v>15</v>
      </c>
      <c r="Z105" s="71">
        <v>0.52</v>
      </c>
      <c r="AA105" s="71">
        <v>0.52</v>
      </c>
    </row>
    <row r="106" spans="1:27">
      <c r="A106" s="72">
        <v>41122</v>
      </c>
      <c r="B106" t="s">
        <v>387</v>
      </c>
      <c r="C106" s="69" t="s">
        <v>432</v>
      </c>
      <c r="D106" s="69" t="s">
        <v>389</v>
      </c>
      <c r="E106" s="69" t="s">
        <v>433</v>
      </c>
      <c r="F106" s="69" t="s">
        <v>394</v>
      </c>
      <c r="G106" s="73" t="str">
        <f t="shared" si="1"/>
        <v>below</v>
      </c>
      <c r="H106" s="69">
        <v>0.27400000000000002</v>
      </c>
      <c r="I106" s="69">
        <v>0.25</v>
      </c>
      <c r="J106" s="69">
        <v>0</v>
      </c>
      <c r="K106" s="69">
        <v>0</v>
      </c>
      <c r="L106" s="69">
        <v>0</v>
      </c>
      <c r="M106" s="69">
        <v>0</v>
      </c>
      <c r="N106" s="69">
        <v>0</v>
      </c>
      <c r="O106" s="69">
        <v>0</v>
      </c>
      <c r="P106" s="69">
        <v>0</v>
      </c>
      <c r="Q106" s="69">
        <v>0</v>
      </c>
      <c r="R106" s="69">
        <v>0</v>
      </c>
      <c r="S106" s="69">
        <v>0</v>
      </c>
      <c r="T106" s="69">
        <v>0</v>
      </c>
      <c r="U106" s="69">
        <v>0</v>
      </c>
      <c r="V106" s="69">
        <v>0</v>
      </c>
      <c r="W106" s="71">
        <v>3.4933332999999997E-2</v>
      </c>
      <c r="X106" s="71">
        <v>2.3831845000000001E-2</v>
      </c>
      <c r="Y106" s="69">
        <v>15</v>
      </c>
      <c r="Z106" s="71">
        <v>0.87333333300000004</v>
      </c>
      <c r="AA106" s="71">
        <v>0.59579611899999996</v>
      </c>
    </row>
    <row r="107" spans="1:27">
      <c r="A107" s="72">
        <v>41122</v>
      </c>
      <c r="B107" t="s">
        <v>387</v>
      </c>
      <c r="C107" s="69" t="s">
        <v>432</v>
      </c>
      <c r="D107" s="69" t="s">
        <v>389</v>
      </c>
      <c r="E107" s="69" t="s">
        <v>433</v>
      </c>
      <c r="F107" s="69" t="s">
        <v>395</v>
      </c>
      <c r="G107" s="73" t="str">
        <f t="shared" si="1"/>
        <v>litter</v>
      </c>
      <c r="H107" s="69">
        <v>0.71499999999999997</v>
      </c>
      <c r="I107" s="69">
        <v>0</v>
      </c>
      <c r="J107" s="69">
        <v>0</v>
      </c>
      <c r="K107" s="69">
        <v>0</v>
      </c>
      <c r="L107" s="69">
        <v>0</v>
      </c>
      <c r="M107" s="69">
        <v>0</v>
      </c>
      <c r="N107" s="69">
        <v>0</v>
      </c>
      <c r="O107" s="69">
        <v>0</v>
      </c>
      <c r="P107" s="69">
        <v>0</v>
      </c>
      <c r="Q107" s="69">
        <v>0</v>
      </c>
      <c r="R107" s="69">
        <v>0</v>
      </c>
      <c r="S107" s="69">
        <v>0</v>
      </c>
      <c r="T107" s="69">
        <v>0</v>
      </c>
      <c r="U107" s="69">
        <v>0</v>
      </c>
      <c r="V107" s="69">
        <v>0</v>
      </c>
      <c r="W107" s="71">
        <v>4.7666667000000003E-2</v>
      </c>
      <c r="X107" s="71">
        <v>4.7666667000000003E-2</v>
      </c>
      <c r="Y107" s="69">
        <v>15</v>
      </c>
      <c r="Z107" s="71">
        <v>1.191666667</v>
      </c>
      <c r="AA107" s="71">
        <v>1.191666667</v>
      </c>
    </row>
    <row r="108" spans="1:27">
      <c r="A108" s="72">
        <v>41122</v>
      </c>
      <c r="B108" t="s">
        <v>387</v>
      </c>
      <c r="C108" s="69" t="s">
        <v>432</v>
      </c>
      <c r="D108" s="69" t="s">
        <v>400</v>
      </c>
      <c r="E108" s="69" t="s">
        <v>401</v>
      </c>
      <c r="F108" s="69" t="s">
        <v>402</v>
      </c>
      <c r="G108" s="73" t="str">
        <f t="shared" si="1"/>
        <v>new above</v>
      </c>
      <c r="H108" s="69">
        <v>1.488</v>
      </c>
      <c r="I108" s="69">
        <v>1.903</v>
      </c>
      <c r="J108" s="69">
        <v>1.784</v>
      </c>
      <c r="K108" s="69">
        <v>0.25700000000000001</v>
      </c>
      <c r="L108" s="69">
        <v>3.5019999999999998</v>
      </c>
      <c r="M108" s="69">
        <v>2.7480000000000002</v>
      </c>
      <c r="N108" s="69">
        <v>0.28499999999999998</v>
      </c>
      <c r="O108" s="69">
        <v>0.42599999999999999</v>
      </c>
      <c r="P108" s="69">
        <v>0.158</v>
      </c>
      <c r="Q108" s="69">
        <v>0</v>
      </c>
      <c r="R108" s="69">
        <v>1.4830000000000001</v>
      </c>
      <c r="S108" s="69">
        <v>0.88600000000000001</v>
      </c>
      <c r="T108" s="69">
        <v>0.247</v>
      </c>
      <c r="U108" s="69">
        <v>0</v>
      </c>
      <c r="V108" s="69">
        <v>0</v>
      </c>
      <c r="W108" s="71">
        <v>1.0111333330000001</v>
      </c>
      <c r="X108" s="71">
        <v>0.28365695000000002</v>
      </c>
      <c r="Y108" s="69">
        <v>15</v>
      </c>
      <c r="Z108" s="71">
        <v>25.278333329999999</v>
      </c>
      <c r="AA108" s="71">
        <v>7.0914237550000001</v>
      </c>
    </row>
    <row r="109" spans="1:27">
      <c r="A109" s="72">
        <v>41122</v>
      </c>
      <c r="B109" t="s">
        <v>387</v>
      </c>
      <c r="C109" s="69" t="s">
        <v>432</v>
      </c>
      <c r="D109" s="69" t="s">
        <v>400</v>
      </c>
      <c r="E109" s="69" t="s">
        <v>401</v>
      </c>
      <c r="F109" s="69" t="s">
        <v>403</v>
      </c>
      <c r="G109" s="73" t="str">
        <f t="shared" si="1"/>
        <v>new above</v>
      </c>
      <c r="H109" s="69">
        <v>0.42699999999999999</v>
      </c>
      <c r="I109" s="69">
        <v>0.54300000000000004</v>
      </c>
      <c r="J109" s="69">
        <v>0.36199999999999999</v>
      </c>
      <c r="K109" s="69">
        <v>9.9000000000000005E-2</v>
      </c>
      <c r="L109" s="69">
        <v>0.64900000000000002</v>
      </c>
      <c r="M109" s="69">
        <v>0.66300000000000003</v>
      </c>
      <c r="N109" s="69">
        <v>5.8999999999999997E-2</v>
      </c>
      <c r="O109" s="69">
        <v>4.2000000000000003E-2</v>
      </c>
      <c r="P109" s="69">
        <v>2.3E-2</v>
      </c>
      <c r="Q109" s="69">
        <v>0</v>
      </c>
      <c r="R109" s="69">
        <v>0.20599999999999999</v>
      </c>
      <c r="S109" s="69">
        <v>0.23100000000000001</v>
      </c>
      <c r="T109" s="69">
        <v>4.3999999999999997E-2</v>
      </c>
      <c r="U109" s="69">
        <v>0</v>
      </c>
      <c r="V109" s="69">
        <v>0</v>
      </c>
      <c r="W109" s="71">
        <v>0.22320000000000001</v>
      </c>
      <c r="X109" s="71">
        <v>6.3058037999999997E-2</v>
      </c>
      <c r="Y109" s="69">
        <v>15</v>
      </c>
      <c r="Z109" s="71">
        <v>5.58</v>
      </c>
      <c r="AA109" s="71">
        <v>1.576450957</v>
      </c>
    </row>
    <row r="110" spans="1:27">
      <c r="A110" s="72">
        <v>41122</v>
      </c>
      <c r="B110" t="s">
        <v>387</v>
      </c>
      <c r="C110" s="69" t="s">
        <v>432</v>
      </c>
      <c r="D110" s="69" t="s">
        <v>400</v>
      </c>
      <c r="E110" s="69" t="s">
        <v>401</v>
      </c>
      <c r="F110" s="69" t="s">
        <v>404</v>
      </c>
      <c r="G110" s="73" t="str">
        <f t="shared" si="1"/>
        <v>old above</v>
      </c>
      <c r="H110" s="69">
        <v>2.94</v>
      </c>
      <c r="I110" s="69">
        <v>10.44</v>
      </c>
      <c r="J110" s="69">
        <v>5.8159999999999998</v>
      </c>
      <c r="K110" s="69">
        <v>1.208</v>
      </c>
      <c r="L110" s="69">
        <v>9.9789999999999992</v>
      </c>
      <c r="M110" s="69">
        <v>9.0570000000000004</v>
      </c>
      <c r="N110" s="69">
        <v>0.182</v>
      </c>
      <c r="O110" s="69">
        <v>5.0039999999999996</v>
      </c>
      <c r="P110" s="69">
        <v>1.0680000000000001</v>
      </c>
      <c r="Q110" s="69">
        <v>0</v>
      </c>
      <c r="R110" s="69">
        <v>4.2380000000000004</v>
      </c>
      <c r="S110" s="69">
        <v>1.68</v>
      </c>
      <c r="T110" s="69">
        <v>3.1659999999999999</v>
      </c>
      <c r="U110" s="69">
        <v>0</v>
      </c>
      <c r="V110" s="69">
        <v>0</v>
      </c>
      <c r="W110" s="71">
        <v>3.6518666670000002</v>
      </c>
      <c r="X110" s="71">
        <v>0.95496303000000005</v>
      </c>
      <c r="Y110" s="69">
        <v>15</v>
      </c>
      <c r="Z110" s="71">
        <v>91.296666669999993</v>
      </c>
      <c r="AA110" s="71">
        <v>23.87407576</v>
      </c>
    </row>
    <row r="111" spans="1:27">
      <c r="A111" s="72">
        <v>41122</v>
      </c>
      <c r="B111" t="s">
        <v>387</v>
      </c>
      <c r="C111" s="69" t="s">
        <v>432</v>
      </c>
      <c r="D111" s="69" t="s">
        <v>400</v>
      </c>
      <c r="E111" s="69" t="s">
        <v>401</v>
      </c>
      <c r="F111" s="69" t="s">
        <v>405</v>
      </c>
      <c r="G111" s="73" t="str">
        <f t="shared" si="1"/>
        <v>new above</v>
      </c>
      <c r="H111" s="69">
        <v>0</v>
      </c>
      <c r="I111" s="69">
        <v>0.02</v>
      </c>
      <c r="J111" s="69">
        <v>0.27700000000000002</v>
      </c>
      <c r="K111" s="69">
        <v>7.1999999999999995E-2</v>
      </c>
      <c r="L111" s="69">
        <v>7.0000000000000001E-3</v>
      </c>
      <c r="M111" s="69">
        <v>0</v>
      </c>
      <c r="N111" s="69">
        <v>0</v>
      </c>
      <c r="O111" s="69">
        <v>0</v>
      </c>
      <c r="P111" s="69">
        <v>0</v>
      </c>
      <c r="Q111" s="69">
        <v>0</v>
      </c>
      <c r="R111" s="69">
        <v>0</v>
      </c>
      <c r="S111" s="69">
        <v>0</v>
      </c>
      <c r="T111" s="69">
        <v>0</v>
      </c>
      <c r="U111" s="69">
        <v>0</v>
      </c>
      <c r="V111" s="69">
        <v>0</v>
      </c>
      <c r="W111" s="71">
        <v>2.5066667000000001E-2</v>
      </c>
      <c r="X111" s="71">
        <v>1.8636488999999999E-2</v>
      </c>
      <c r="Y111" s="69">
        <v>15</v>
      </c>
      <c r="Z111" s="71">
        <v>0.62666666699999996</v>
      </c>
      <c r="AA111" s="71">
        <v>0.46591222999999998</v>
      </c>
    </row>
    <row r="112" spans="1:27">
      <c r="A112" s="72">
        <v>41122</v>
      </c>
      <c r="B112" t="s">
        <v>387</v>
      </c>
      <c r="C112" s="69" t="s">
        <v>432</v>
      </c>
      <c r="D112" s="69" t="s">
        <v>400</v>
      </c>
      <c r="E112" s="69" t="s">
        <v>401</v>
      </c>
      <c r="F112" s="69" t="s">
        <v>406</v>
      </c>
      <c r="G112" s="73" t="str">
        <f t="shared" si="1"/>
        <v>below</v>
      </c>
      <c r="H112" s="69">
        <v>0</v>
      </c>
      <c r="I112" s="69">
        <v>27.585000000000001</v>
      </c>
      <c r="J112" s="69">
        <v>3.12</v>
      </c>
      <c r="K112" s="69">
        <v>0.55000000000000004</v>
      </c>
      <c r="L112" s="69">
        <v>46.884999999999998</v>
      </c>
      <c r="M112" s="69">
        <v>19.164999999999999</v>
      </c>
      <c r="N112" s="69">
        <v>5.492</v>
      </c>
      <c r="O112" s="69">
        <v>14.28</v>
      </c>
      <c r="P112" s="69">
        <v>0.58099999999999996</v>
      </c>
      <c r="Q112" s="69">
        <v>12.246</v>
      </c>
      <c r="R112" s="69">
        <v>12.95</v>
      </c>
      <c r="S112" s="69">
        <v>0.439</v>
      </c>
      <c r="T112" s="69">
        <v>0</v>
      </c>
      <c r="U112" s="69">
        <v>0</v>
      </c>
      <c r="V112" s="69">
        <v>0</v>
      </c>
      <c r="W112" s="71">
        <v>9.552866667</v>
      </c>
      <c r="X112" s="71">
        <v>3.4640249189999999</v>
      </c>
      <c r="Y112" s="69">
        <v>15</v>
      </c>
      <c r="Z112" s="71">
        <v>238.82166670000001</v>
      </c>
      <c r="AA112" s="71">
        <v>86.600622970000003</v>
      </c>
    </row>
    <row r="113" spans="1:27">
      <c r="A113" s="72">
        <v>41122</v>
      </c>
      <c r="B113" t="s">
        <v>387</v>
      </c>
      <c r="C113" s="69" t="s">
        <v>432</v>
      </c>
      <c r="D113" s="69" t="s">
        <v>400</v>
      </c>
      <c r="E113" s="69" t="s">
        <v>407</v>
      </c>
      <c r="F113" s="69" t="s">
        <v>402</v>
      </c>
      <c r="G113" s="73" t="str">
        <f t="shared" si="1"/>
        <v>new above</v>
      </c>
      <c r="H113" s="69">
        <v>0</v>
      </c>
      <c r="I113" s="69">
        <v>0</v>
      </c>
      <c r="J113" s="69">
        <v>0</v>
      </c>
      <c r="K113" s="69">
        <v>0</v>
      </c>
      <c r="L113" s="69">
        <v>0</v>
      </c>
      <c r="M113" s="69">
        <v>0.33400000000000002</v>
      </c>
      <c r="N113" s="69">
        <v>0</v>
      </c>
      <c r="O113" s="69">
        <v>0</v>
      </c>
      <c r="P113" s="69">
        <v>0</v>
      </c>
      <c r="Q113" s="69">
        <v>0.06</v>
      </c>
      <c r="R113" s="69">
        <v>0</v>
      </c>
      <c r="S113" s="69">
        <v>0</v>
      </c>
      <c r="T113" s="69">
        <v>0</v>
      </c>
      <c r="U113" s="69">
        <v>0</v>
      </c>
      <c r="V113" s="69">
        <v>0</v>
      </c>
      <c r="W113" s="71">
        <v>2.6266667E-2</v>
      </c>
      <c r="X113" s="71">
        <v>2.2340113000000002E-2</v>
      </c>
      <c r="Y113" s="69">
        <v>15</v>
      </c>
      <c r="Z113" s="71">
        <v>0.65666666699999998</v>
      </c>
      <c r="AA113" s="71">
        <v>0.55850281700000004</v>
      </c>
    </row>
    <row r="114" spans="1:27">
      <c r="A114" s="72">
        <v>41122</v>
      </c>
      <c r="B114" t="s">
        <v>387</v>
      </c>
      <c r="C114" s="69" t="s">
        <v>432</v>
      </c>
      <c r="D114" s="69" t="s">
        <v>400</v>
      </c>
      <c r="E114" s="69" t="s">
        <v>407</v>
      </c>
      <c r="F114" s="69" t="s">
        <v>403</v>
      </c>
      <c r="G114" s="73" t="str">
        <f t="shared" si="1"/>
        <v>new above</v>
      </c>
      <c r="H114" s="69">
        <v>0</v>
      </c>
      <c r="I114" s="69">
        <v>0</v>
      </c>
      <c r="J114" s="69">
        <v>0</v>
      </c>
      <c r="K114" s="69">
        <v>0</v>
      </c>
      <c r="L114" s="69">
        <v>0</v>
      </c>
      <c r="M114" s="69">
        <v>0</v>
      </c>
      <c r="N114" s="69">
        <v>0</v>
      </c>
      <c r="O114" s="69">
        <v>0</v>
      </c>
      <c r="P114" s="69">
        <v>0</v>
      </c>
      <c r="Q114" s="69">
        <v>2E-3</v>
      </c>
      <c r="R114" s="69">
        <v>0</v>
      </c>
      <c r="S114" s="69">
        <v>0</v>
      </c>
      <c r="T114" s="69">
        <v>0</v>
      </c>
      <c r="U114" s="69">
        <v>0</v>
      </c>
      <c r="V114" s="69">
        <v>0</v>
      </c>
      <c r="W114" s="71">
        <v>1.3333299999999999E-4</v>
      </c>
      <c r="X114" s="71">
        <v>1.3333299999999999E-4</v>
      </c>
      <c r="Y114" s="69">
        <v>15</v>
      </c>
      <c r="Z114" s="71">
        <v>3.333333E-3</v>
      </c>
      <c r="AA114" s="71">
        <v>3.333333E-3</v>
      </c>
    </row>
    <row r="115" spans="1:27">
      <c r="A115" s="72">
        <v>41122</v>
      </c>
      <c r="B115" t="s">
        <v>387</v>
      </c>
      <c r="C115" s="69" t="s">
        <v>432</v>
      </c>
      <c r="D115" s="69" t="s">
        <v>400</v>
      </c>
      <c r="E115" s="69" t="s">
        <v>407</v>
      </c>
      <c r="F115" s="69" t="s">
        <v>404</v>
      </c>
      <c r="G115" s="73" t="str">
        <f t="shared" si="1"/>
        <v>old above</v>
      </c>
      <c r="H115" s="69">
        <v>0</v>
      </c>
      <c r="I115" s="69">
        <v>0</v>
      </c>
      <c r="J115" s="69">
        <v>0</v>
      </c>
      <c r="K115" s="69">
        <v>0</v>
      </c>
      <c r="L115" s="69">
        <v>0</v>
      </c>
      <c r="M115" s="69">
        <v>8.7999999999999995E-2</v>
      </c>
      <c r="N115" s="69">
        <v>0</v>
      </c>
      <c r="O115" s="69">
        <v>0</v>
      </c>
      <c r="P115" s="69">
        <v>0</v>
      </c>
      <c r="Q115" s="69">
        <v>0</v>
      </c>
      <c r="R115" s="69">
        <v>0</v>
      </c>
      <c r="S115" s="69">
        <v>0</v>
      </c>
      <c r="T115" s="69">
        <v>0</v>
      </c>
      <c r="U115" s="69">
        <v>0</v>
      </c>
      <c r="V115" s="69">
        <v>0</v>
      </c>
      <c r="W115" s="71">
        <v>5.8666669999999999E-3</v>
      </c>
      <c r="X115" s="71">
        <v>5.8666669999999999E-3</v>
      </c>
      <c r="Y115" s="69">
        <v>15</v>
      </c>
      <c r="Z115" s="71">
        <v>0.146666667</v>
      </c>
      <c r="AA115" s="71">
        <v>0.146666667</v>
      </c>
    </row>
    <row r="116" spans="1:27">
      <c r="A116" s="72">
        <v>41122</v>
      </c>
      <c r="B116" t="s">
        <v>387</v>
      </c>
      <c r="C116" s="69" t="s">
        <v>432</v>
      </c>
      <c r="D116" s="69" t="s">
        <v>400</v>
      </c>
      <c r="E116" s="69" t="s">
        <v>407</v>
      </c>
      <c r="F116" s="69" t="s">
        <v>405</v>
      </c>
      <c r="G116" s="73" t="str">
        <f t="shared" si="1"/>
        <v>new above</v>
      </c>
      <c r="H116" s="69">
        <v>0</v>
      </c>
      <c r="I116" s="69">
        <v>0</v>
      </c>
      <c r="J116" s="69">
        <v>0</v>
      </c>
      <c r="K116" s="69">
        <v>0</v>
      </c>
      <c r="L116" s="69">
        <v>0</v>
      </c>
      <c r="M116" s="69">
        <v>0</v>
      </c>
      <c r="N116" s="69">
        <v>0</v>
      </c>
      <c r="O116" s="69">
        <v>0</v>
      </c>
      <c r="P116" s="69">
        <v>0</v>
      </c>
      <c r="Q116" s="69">
        <v>0</v>
      </c>
      <c r="R116" s="69">
        <v>0</v>
      </c>
      <c r="S116" s="69">
        <v>0</v>
      </c>
      <c r="T116" s="69">
        <v>0</v>
      </c>
      <c r="U116" s="69">
        <v>0</v>
      </c>
      <c r="V116" s="69">
        <v>0</v>
      </c>
      <c r="W116" s="71">
        <v>0</v>
      </c>
      <c r="X116" s="71">
        <v>0</v>
      </c>
      <c r="Y116" s="69">
        <v>15</v>
      </c>
      <c r="Z116" s="71">
        <v>0</v>
      </c>
      <c r="AA116" s="71">
        <v>0</v>
      </c>
    </row>
    <row r="117" spans="1:27">
      <c r="A117" s="72">
        <v>41122</v>
      </c>
      <c r="B117" t="s">
        <v>387</v>
      </c>
      <c r="C117" s="69" t="s">
        <v>432</v>
      </c>
      <c r="D117" s="69" t="s">
        <v>400</v>
      </c>
      <c r="E117" s="69" t="s">
        <v>407</v>
      </c>
      <c r="F117" s="69" t="s">
        <v>406</v>
      </c>
      <c r="G117" s="73" t="str">
        <f t="shared" si="1"/>
        <v>below</v>
      </c>
      <c r="H117" s="69">
        <v>0</v>
      </c>
      <c r="I117" s="69">
        <v>0.13500000000000001</v>
      </c>
      <c r="J117" s="69">
        <v>0</v>
      </c>
      <c r="K117" s="69">
        <v>0</v>
      </c>
      <c r="L117" s="69">
        <v>0</v>
      </c>
      <c r="M117" s="69">
        <v>0</v>
      </c>
      <c r="N117" s="69">
        <v>0</v>
      </c>
      <c r="O117" s="69">
        <v>0</v>
      </c>
      <c r="P117" s="69">
        <v>0</v>
      </c>
      <c r="Q117" s="69">
        <v>0</v>
      </c>
      <c r="R117" s="69">
        <v>0</v>
      </c>
      <c r="S117" s="69">
        <v>4.2009999999999996</v>
      </c>
      <c r="T117" s="69">
        <v>0</v>
      </c>
      <c r="U117" s="69">
        <v>0</v>
      </c>
      <c r="V117" s="69">
        <v>0</v>
      </c>
      <c r="W117" s="71">
        <v>0.289066667</v>
      </c>
      <c r="X117" s="71">
        <v>0.279567974</v>
      </c>
      <c r="Y117" s="69">
        <v>15</v>
      </c>
      <c r="Z117" s="71">
        <v>7.2266666669999999</v>
      </c>
      <c r="AA117" s="71">
        <v>6.9891993489999997</v>
      </c>
    </row>
    <row r="118" spans="1:27">
      <c r="A118" s="72">
        <v>41122</v>
      </c>
      <c r="B118" t="s">
        <v>387</v>
      </c>
      <c r="C118" s="69" t="s">
        <v>432</v>
      </c>
      <c r="D118" s="69" t="s">
        <v>400</v>
      </c>
      <c r="E118" s="69" t="s">
        <v>408</v>
      </c>
      <c r="F118" s="69" t="s">
        <v>402</v>
      </c>
      <c r="G118" s="73" t="str">
        <f t="shared" si="1"/>
        <v>new above</v>
      </c>
      <c r="H118" s="69">
        <v>0.16500000000000001</v>
      </c>
      <c r="I118" s="69">
        <v>1.2999999999999999E-2</v>
      </c>
      <c r="J118" s="69">
        <v>0.16500000000000001</v>
      </c>
      <c r="K118" s="69">
        <v>0.28399999999999997</v>
      </c>
      <c r="L118" s="69">
        <v>0</v>
      </c>
      <c r="M118" s="69">
        <v>0</v>
      </c>
      <c r="N118" s="69">
        <v>0</v>
      </c>
      <c r="O118" s="69">
        <v>4.8000000000000001E-2</v>
      </c>
      <c r="P118" s="69">
        <v>0</v>
      </c>
      <c r="Q118" s="69">
        <v>0.22500000000000001</v>
      </c>
      <c r="R118" s="69">
        <v>0</v>
      </c>
      <c r="S118" s="69">
        <v>2.9000000000000001E-2</v>
      </c>
      <c r="T118" s="69">
        <v>0</v>
      </c>
      <c r="U118" s="69">
        <v>0.72</v>
      </c>
      <c r="V118" s="69">
        <v>1.5589999999999999</v>
      </c>
      <c r="W118" s="71">
        <v>0.21386666700000001</v>
      </c>
      <c r="X118" s="71">
        <v>0.108052935</v>
      </c>
      <c r="Y118" s="69">
        <v>15</v>
      </c>
      <c r="Z118" s="71">
        <v>5.346666667</v>
      </c>
      <c r="AA118" s="71">
        <v>2.701323382</v>
      </c>
    </row>
    <row r="119" spans="1:27">
      <c r="A119" s="72">
        <v>41122</v>
      </c>
      <c r="B119" t="s">
        <v>387</v>
      </c>
      <c r="C119" s="69" t="s">
        <v>432</v>
      </c>
      <c r="D119" s="69" t="s">
        <v>400</v>
      </c>
      <c r="E119" s="69" t="s">
        <v>408</v>
      </c>
      <c r="F119" s="69" t="s">
        <v>403</v>
      </c>
      <c r="G119" s="73" t="str">
        <f t="shared" si="1"/>
        <v>new above</v>
      </c>
      <c r="H119" s="69">
        <v>4.9000000000000002E-2</v>
      </c>
      <c r="I119" s="69">
        <v>1E-3</v>
      </c>
      <c r="J119" s="69">
        <v>5.1999999999999998E-2</v>
      </c>
      <c r="K119" s="69">
        <v>0.20699999999999999</v>
      </c>
      <c r="L119" s="69">
        <v>0</v>
      </c>
      <c r="M119" s="69">
        <v>0</v>
      </c>
      <c r="N119" s="69">
        <v>0</v>
      </c>
      <c r="O119" s="69">
        <v>0</v>
      </c>
      <c r="P119" s="69">
        <v>0</v>
      </c>
      <c r="Q119" s="69">
        <v>8.4000000000000005E-2</v>
      </c>
      <c r="R119" s="69">
        <v>0</v>
      </c>
      <c r="S119" s="69">
        <v>0.04</v>
      </c>
      <c r="T119" s="69">
        <v>0</v>
      </c>
      <c r="U119" s="69">
        <v>0.22600000000000001</v>
      </c>
      <c r="V119" s="69">
        <v>0.98899999999999999</v>
      </c>
      <c r="W119" s="71">
        <v>0.109866667</v>
      </c>
      <c r="X119" s="71">
        <v>6.5637813000000003E-2</v>
      </c>
      <c r="Y119" s="69">
        <v>15</v>
      </c>
      <c r="Z119" s="71">
        <v>2.746666667</v>
      </c>
      <c r="AA119" s="71">
        <v>1.6409453329999999</v>
      </c>
    </row>
    <row r="120" spans="1:27">
      <c r="A120" s="72">
        <v>41122</v>
      </c>
      <c r="B120" t="s">
        <v>387</v>
      </c>
      <c r="C120" s="69" t="s">
        <v>432</v>
      </c>
      <c r="D120" s="69" t="s">
        <v>400</v>
      </c>
      <c r="E120" s="69" t="s">
        <v>408</v>
      </c>
      <c r="F120" s="69" t="s">
        <v>404</v>
      </c>
      <c r="G120" s="73" t="str">
        <f t="shared" si="1"/>
        <v>old above</v>
      </c>
      <c r="H120" s="69">
        <v>0.34899999999999998</v>
      </c>
      <c r="I120" s="69">
        <v>0.03</v>
      </c>
      <c r="J120" s="69">
        <v>0.375</v>
      </c>
      <c r="K120" s="69">
        <v>0.36399999999999999</v>
      </c>
      <c r="L120" s="69">
        <v>0</v>
      </c>
      <c r="M120" s="69">
        <v>0</v>
      </c>
      <c r="N120" s="69">
        <v>0</v>
      </c>
      <c r="O120" s="69">
        <v>6.8000000000000005E-2</v>
      </c>
      <c r="P120" s="69">
        <v>0</v>
      </c>
      <c r="Q120" s="69">
        <v>0.78</v>
      </c>
      <c r="R120" s="69">
        <v>0</v>
      </c>
      <c r="S120" s="69">
        <v>0.14199999999999999</v>
      </c>
      <c r="T120" s="69">
        <v>0.252</v>
      </c>
      <c r="U120" s="69">
        <v>2.9830000000000001</v>
      </c>
      <c r="V120" s="69">
        <v>6.1909999999999998</v>
      </c>
      <c r="W120" s="71">
        <v>0.768933333</v>
      </c>
      <c r="X120" s="71">
        <v>0.43342713399999999</v>
      </c>
      <c r="Y120" s="69">
        <v>15</v>
      </c>
      <c r="Z120" s="71">
        <v>19.223333329999999</v>
      </c>
      <c r="AA120" s="71">
        <v>10.83567835</v>
      </c>
    </row>
    <row r="121" spans="1:27">
      <c r="A121" s="72">
        <v>41122</v>
      </c>
      <c r="B121" t="s">
        <v>387</v>
      </c>
      <c r="C121" s="69" t="s">
        <v>432</v>
      </c>
      <c r="D121" s="69" t="s">
        <v>400</v>
      </c>
      <c r="E121" s="69" t="s">
        <v>408</v>
      </c>
      <c r="F121" s="69" t="s">
        <v>405</v>
      </c>
      <c r="G121" s="73" t="str">
        <f t="shared" si="1"/>
        <v>new above</v>
      </c>
      <c r="H121" s="69">
        <v>0</v>
      </c>
      <c r="I121" s="69">
        <v>0</v>
      </c>
      <c r="J121" s="69">
        <v>0</v>
      </c>
      <c r="K121" s="69">
        <v>0</v>
      </c>
      <c r="L121" s="69">
        <v>0</v>
      </c>
      <c r="M121" s="69">
        <v>0</v>
      </c>
      <c r="N121" s="69">
        <v>0</v>
      </c>
      <c r="O121" s="69">
        <v>0</v>
      </c>
      <c r="P121" s="69">
        <v>0</v>
      </c>
      <c r="Q121" s="69">
        <v>0</v>
      </c>
      <c r="R121" s="69">
        <v>0</v>
      </c>
      <c r="S121" s="69">
        <v>0</v>
      </c>
      <c r="T121" s="69">
        <v>0</v>
      </c>
      <c r="U121" s="69">
        <v>1.4E-2</v>
      </c>
      <c r="V121" s="69">
        <v>0</v>
      </c>
      <c r="W121" s="71">
        <v>9.3333299999999995E-4</v>
      </c>
      <c r="X121" s="71">
        <v>9.3333299999999995E-4</v>
      </c>
      <c r="Y121" s="69">
        <v>15</v>
      </c>
      <c r="Z121" s="71">
        <v>2.3333333000000001E-2</v>
      </c>
      <c r="AA121" s="71">
        <v>2.3333333000000001E-2</v>
      </c>
    </row>
    <row r="122" spans="1:27">
      <c r="A122" s="72">
        <v>41122</v>
      </c>
      <c r="B122" t="s">
        <v>387</v>
      </c>
      <c r="C122" s="69" t="s">
        <v>432</v>
      </c>
      <c r="D122" s="69" t="s">
        <v>400</v>
      </c>
      <c r="E122" s="69" t="s">
        <v>408</v>
      </c>
      <c r="F122" s="69" t="s">
        <v>406</v>
      </c>
      <c r="G122" s="73" t="str">
        <f t="shared" si="1"/>
        <v>below</v>
      </c>
      <c r="H122" s="69">
        <v>0.373</v>
      </c>
      <c r="I122" s="69">
        <v>0</v>
      </c>
      <c r="J122" s="69">
        <v>0.53700000000000003</v>
      </c>
      <c r="K122" s="69">
        <v>0.376</v>
      </c>
      <c r="L122" s="69">
        <v>0</v>
      </c>
      <c r="M122" s="69">
        <v>0</v>
      </c>
      <c r="N122" s="69">
        <v>0</v>
      </c>
      <c r="O122" s="69">
        <v>0</v>
      </c>
      <c r="P122" s="69">
        <v>0</v>
      </c>
      <c r="Q122" s="69">
        <v>0</v>
      </c>
      <c r="R122" s="69">
        <v>0</v>
      </c>
      <c r="S122" s="69">
        <v>0.155</v>
      </c>
      <c r="T122" s="69">
        <v>0.73299999999999998</v>
      </c>
      <c r="U122" s="69">
        <v>3.62</v>
      </c>
      <c r="V122" s="69">
        <v>15.342000000000001</v>
      </c>
      <c r="W122" s="71">
        <v>1.4090666670000001</v>
      </c>
      <c r="X122" s="71">
        <v>1.0231359799999999</v>
      </c>
      <c r="Y122" s="69">
        <v>15</v>
      </c>
      <c r="Z122" s="71">
        <v>35.22666667</v>
      </c>
      <c r="AA122" s="71">
        <v>25.578399489999999</v>
      </c>
    </row>
    <row r="123" spans="1:27">
      <c r="A123" s="72">
        <v>41122</v>
      </c>
      <c r="B123" t="s">
        <v>387</v>
      </c>
      <c r="C123" s="69" t="s">
        <v>432</v>
      </c>
      <c r="D123" s="69" t="s">
        <v>400</v>
      </c>
      <c r="E123" s="69" t="s">
        <v>409</v>
      </c>
      <c r="F123" s="69" t="s">
        <v>402</v>
      </c>
      <c r="G123" s="73" t="str">
        <f t="shared" si="1"/>
        <v>new above</v>
      </c>
      <c r="H123" s="69">
        <v>0</v>
      </c>
      <c r="I123" s="69">
        <v>0</v>
      </c>
      <c r="J123" s="69">
        <v>0</v>
      </c>
      <c r="K123" s="69">
        <v>0.26800000000000002</v>
      </c>
      <c r="L123" s="69">
        <v>0</v>
      </c>
      <c r="M123" s="69">
        <v>0</v>
      </c>
      <c r="N123" s="69">
        <v>0</v>
      </c>
      <c r="O123" s="69">
        <v>0</v>
      </c>
      <c r="P123" s="69">
        <v>0</v>
      </c>
      <c r="Q123" s="69">
        <v>0</v>
      </c>
      <c r="R123" s="69">
        <v>0</v>
      </c>
      <c r="S123" s="69">
        <v>0</v>
      </c>
      <c r="T123" s="69">
        <v>0.126</v>
      </c>
      <c r="U123" s="69">
        <v>0</v>
      </c>
      <c r="V123" s="69">
        <v>0</v>
      </c>
      <c r="W123" s="71">
        <v>2.6266667E-2</v>
      </c>
      <c r="X123" s="71">
        <v>1.9192127999999999E-2</v>
      </c>
      <c r="Y123" s="69">
        <v>15</v>
      </c>
      <c r="Z123" s="71">
        <v>0.65666666699999998</v>
      </c>
      <c r="AA123" s="71">
        <v>0.47980319999999999</v>
      </c>
    </row>
    <row r="124" spans="1:27">
      <c r="A124" s="72">
        <v>41122</v>
      </c>
      <c r="B124" t="s">
        <v>387</v>
      </c>
      <c r="C124" s="69" t="s">
        <v>432</v>
      </c>
      <c r="D124" s="69" t="s">
        <v>400</v>
      </c>
      <c r="E124" s="69" t="s">
        <v>409</v>
      </c>
      <c r="F124" s="69" t="s">
        <v>403</v>
      </c>
      <c r="G124" s="73" t="str">
        <f t="shared" si="1"/>
        <v>new above</v>
      </c>
      <c r="H124" s="69">
        <v>0</v>
      </c>
      <c r="I124" s="69">
        <v>0</v>
      </c>
      <c r="J124" s="69">
        <v>0</v>
      </c>
      <c r="K124" s="69">
        <v>0</v>
      </c>
      <c r="L124" s="69">
        <v>0</v>
      </c>
      <c r="M124" s="69">
        <v>0</v>
      </c>
      <c r="N124" s="69">
        <v>0</v>
      </c>
      <c r="O124" s="69">
        <v>0</v>
      </c>
      <c r="P124" s="69">
        <v>0</v>
      </c>
      <c r="Q124" s="69">
        <v>0</v>
      </c>
      <c r="R124" s="69">
        <v>0</v>
      </c>
      <c r="S124" s="69">
        <v>0</v>
      </c>
      <c r="T124" s="69">
        <v>2.4E-2</v>
      </c>
      <c r="U124" s="69">
        <v>0</v>
      </c>
      <c r="V124" s="69">
        <v>0</v>
      </c>
      <c r="W124" s="71">
        <v>1.6000000000000001E-3</v>
      </c>
      <c r="X124" s="71">
        <v>1.6000000000000001E-3</v>
      </c>
      <c r="Y124" s="69">
        <v>15</v>
      </c>
      <c r="Z124" s="71">
        <v>0.04</v>
      </c>
      <c r="AA124" s="71">
        <v>0.04</v>
      </c>
    </row>
    <row r="125" spans="1:27">
      <c r="A125" s="72">
        <v>41122</v>
      </c>
      <c r="B125" t="s">
        <v>387</v>
      </c>
      <c r="C125" s="69" t="s">
        <v>432</v>
      </c>
      <c r="D125" s="69" t="s">
        <v>400</v>
      </c>
      <c r="E125" s="69" t="s">
        <v>409</v>
      </c>
      <c r="F125" s="69" t="s">
        <v>404</v>
      </c>
      <c r="G125" s="73" t="str">
        <f t="shared" si="1"/>
        <v>old above</v>
      </c>
      <c r="H125" s="69">
        <v>0</v>
      </c>
      <c r="I125" s="69">
        <v>0</v>
      </c>
      <c r="J125" s="69">
        <v>0</v>
      </c>
      <c r="K125" s="69">
        <v>0</v>
      </c>
      <c r="L125" s="69">
        <v>0</v>
      </c>
      <c r="M125" s="69">
        <v>0</v>
      </c>
      <c r="N125" s="69">
        <v>0</v>
      </c>
      <c r="O125" s="69">
        <v>0</v>
      </c>
      <c r="P125" s="69">
        <v>0</v>
      </c>
      <c r="Q125" s="69">
        <v>0</v>
      </c>
      <c r="R125" s="69">
        <v>0</v>
      </c>
      <c r="S125" s="69">
        <v>0</v>
      </c>
      <c r="T125" s="69">
        <v>0</v>
      </c>
      <c r="U125" s="69">
        <v>0</v>
      </c>
      <c r="V125" s="69">
        <v>0</v>
      </c>
      <c r="W125" s="71">
        <v>0</v>
      </c>
      <c r="X125" s="71">
        <v>0</v>
      </c>
      <c r="Y125" s="69">
        <v>15</v>
      </c>
      <c r="Z125" s="71">
        <v>0</v>
      </c>
      <c r="AA125" s="71">
        <v>0</v>
      </c>
    </row>
    <row r="126" spans="1:27">
      <c r="A126" s="72">
        <v>41122</v>
      </c>
      <c r="B126" t="s">
        <v>387</v>
      </c>
      <c r="C126" s="69" t="s">
        <v>432</v>
      </c>
      <c r="D126" s="69" t="s">
        <v>400</v>
      </c>
      <c r="E126" s="69" t="s">
        <v>409</v>
      </c>
      <c r="F126" s="69" t="s">
        <v>405</v>
      </c>
      <c r="G126" s="73" t="str">
        <f t="shared" si="1"/>
        <v>new above</v>
      </c>
      <c r="H126" s="69">
        <v>0</v>
      </c>
      <c r="I126" s="69">
        <v>0</v>
      </c>
      <c r="J126" s="69">
        <v>0</v>
      </c>
      <c r="K126" s="69">
        <v>0</v>
      </c>
      <c r="L126" s="69">
        <v>0</v>
      </c>
      <c r="M126" s="69">
        <v>0</v>
      </c>
      <c r="N126" s="69">
        <v>0</v>
      </c>
      <c r="O126" s="69">
        <v>0</v>
      </c>
      <c r="P126" s="69">
        <v>0</v>
      </c>
      <c r="Q126" s="69">
        <v>0</v>
      </c>
      <c r="R126" s="69">
        <v>0</v>
      </c>
      <c r="S126" s="69">
        <v>0</v>
      </c>
      <c r="T126" s="69">
        <v>4.2999999999999997E-2</v>
      </c>
      <c r="U126" s="69">
        <v>0</v>
      </c>
      <c r="V126" s="69">
        <v>0</v>
      </c>
      <c r="W126" s="71">
        <v>2.8666669999999998E-3</v>
      </c>
      <c r="X126" s="71">
        <v>2.8666669999999998E-3</v>
      </c>
      <c r="Y126" s="69">
        <v>15</v>
      </c>
      <c r="Z126" s="71">
        <v>7.1666667000000003E-2</v>
      </c>
      <c r="AA126" s="71">
        <v>7.1666667000000003E-2</v>
      </c>
    </row>
    <row r="127" spans="1:27">
      <c r="A127" s="72">
        <v>41122</v>
      </c>
      <c r="B127" t="s">
        <v>387</v>
      </c>
      <c r="C127" s="69" t="s">
        <v>432</v>
      </c>
      <c r="D127" s="69" t="s">
        <v>400</v>
      </c>
      <c r="E127" s="69" t="s">
        <v>409</v>
      </c>
      <c r="F127" s="69" t="s">
        <v>406</v>
      </c>
      <c r="G127" s="73" t="str">
        <f t="shared" si="1"/>
        <v>below</v>
      </c>
      <c r="H127" s="69">
        <v>0</v>
      </c>
      <c r="I127" s="69">
        <v>0</v>
      </c>
      <c r="J127" s="69">
        <v>0</v>
      </c>
      <c r="K127" s="69">
        <v>0.499</v>
      </c>
      <c r="L127" s="69">
        <v>0</v>
      </c>
      <c r="M127" s="69">
        <v>0</v>
      </c>
      <c r="N127" s="69">
        <v>0</v>
      </c>
      <c r="O127" s="69">
        <v>0</v>
      </c>
      <c r="P127" s="69">
        <v>0</v>
      </c>
      <c r="Q127" s="69">
        <v>0</v>
      </c>
      <c r="R127" s="69">
        <v>0</v>
      </c>
      <c r="S127" s="69">
        <v>0</v>
      </c>
      <c r="T127" s="69">
        <v>10.374000000000001</v>
      </c>
      <c r="U127" s="69">
        <v>0</v>
      </c>
      <c r="V127" s="69">
        <v>0</v>
      </c>
      <c r="W127" s="71">
        <v>0.72486666700000002</v>
      </c>
      <c r="X127" s="71">
        <v>0.69002209000000003</v>
      </c>
      <c r="Y127" s="69">
        <v>15</v>
      </c>
      <c r="Z127" s="71">
        <v>18.12166667</v>
      </c>
      <c r="AA127" s="71">
        <v>17.250552249999998</v>
      </c>
    </row>
    <row r="128" spans="1:27">
      <c r="A128" s="72">
        <v>41122</v>
      </c>
      <c r="B128" t="s">
        <v>387</v>
      </c>
      <c r="C128" s="69" t="s">
        <v>432</v>
      </c>
      <c r="D128" s="69" t="s">
        <v>411</v>
      </c>
      <c r="E128" s="69" t="s">
        <v>412</v>
      </c>
      <c r="F128" s="69" t="s">
        <v>402</v>
      </c>
      <c r="G128" s="73" t="str">
        <f t="shared" si="1"/>
        <v>new above</v>
      </c>
      <c r="H128" s="69">
        <v>0.85899999999999999</v>
      </c>
      <c r="I128" s="69">
        <v>2.9950000000000001</v>
      </c>
      <c r="J128" s="69">
        <v>1.619</v>
      </c>
      <c r="K128" s="69">
        <v>0.54100000000000004</v>
      </c>
      <c r="L128" s="69">
        <v>1.042</v>
      </c>
      <c r="M128" s="69">
        <v>0.32100000000000001</v>
      </c>
      <c r="N128" s="69">
        <v>0.46300000000000002</v>
      </c>
      <c r="O128" s="69">
        <v>1.073</v>
      </c>
      <c r="P128" s="69">
        <v>1.53</v>
      </c>
      <c r="Q128" s="69">
        <v>0.45200000000000001</v>
      </c>
      <c r="R128" s="69">
        <v>1.222</v>
      </c>
      <c r="S128" s="69">
        <v>1.7929999999999999</v>
      </c>
      <c r="T128" s="69">
        <v>0.54</v>
      </c>
      <c r="U128" s="69">
        <v>0.495</v>
      </c>
      <c r="V128" s="69">
        <v>8.5999999999999993E-2</v>
      </c>
      <c r="W128" s="71">
        <v>1.002066667</v>
      </c>
      <c r="X128" s="71">
        <v>0.19409797400000001</v>
      </c>
      <c r="Y128" s="69">
        <v>15</v>
      </c>
      <c r="Z128" s="71">
        <v>25.051666669999999</v>
      </c>
      <c r="AA128" s="71">
        <v>4.8524493489999996</v>
      </c>
    </row>
    <row r="129" spans="1:27">
      <c r="A129" s="72">
        <v>41122</v>
      </c>
      <c r="B129" t="s">
        <v>387</v>
      </c>
      <c r="C129" s="69" t="s">
        <v>432</v>
      </c>
      <c r="D129" s="69" t="s">
        <v>411</v>
      </c>
      <c r="E129" s="69" t="s">
        <v>412</v>
      </c>
      <c r="F129" s="69" t="s">
        <v>403</v>
      </c>
      <c r="G129" s="73" t="str">
        <f t="shared" si="1"/>
        <v>new above</v>
      </c>
      <c r="H129" s="69">
        <v>0.33900000000000002</v>
      </c>
      <c r="I129" s="69">
        <v>0.92400000000000004</v>
      </c>
      <c r="J129" s="69">
        <v>0.48899999999999999</v>
      </c>
      <c r="K129" s="69">
        <v>0.16</v>
      </c>
      <c r="L129" s="69">
        <v>0.29699999999999999</v>
      </c>
      <c r="M129" s="69">
        <v>0.129</v>
      </c>
      <c r="N129" s="69">
        <v>9.4E-2</v>
      </c>
      <c r="O129" s="69">
        <v>0.21199999999999999</v>
      </c>
      <c r="P129" s="69">
        <v>0.38200000000000001</v>
      </c>
      <c r="Q129" s="69">
        <v>8.5000000000000006E-2</v>
      </c>
      <c r="R129" s="69">
        <v>0.46200000000000002</v>
      </c>
      <c r="S129" s="69">
        <v>0.85799999999999998</v>
      </c>
      <c r="T129" s="69">
        <v>0.184</v>
      </c>
      <c r="U129" s="69">
        <v>0.13</v>
      </c>
      <c r="V129" s="69">
        <v>2.3E-2</v>
      </c>
      <c r="W129" s="71">
        <v>0.31786666699999999</v>
      </c>
      <c r="X129" s="71">
        <v>7.0051060999999998E-2</v>
      </c>
      <c r="Y129" s="69">
        <v>15</v>
      </c>
      <c r="Z129" s="71">
        <v>7.9466666669999997</v>
      </c>
      <c r="AA129" s="71">
        <v>1.7512765189999999</v>
      </c>
    </row>
    <row r="130" spans="1:27">
      <c r="A130" s="72">
        <v>41122</v>
      </c>
      <c r="B130" t="s">
        <v>387</v>
      </c>
      <c r="C130" s="69" t="s">
        <v>432</v>
      </c>
      <c r="D130" s="69" t="s">
        <v>411</v>
      </c>
      <c r="E130" s="69" t="s">
        <v>412</v>
      </c>
      <c r="F130" s="69" t="s">
        <v>413</v>
      </c>
      <c r="G130" s="73" t="str">
        <f t="shared" si="1"/>
        <v>old above</v>
      </c>
      <c r="H130" s="69">
        <v>0.74099999999999999</v>
      </c>
      <c r="I130" s="69">
        <v>1.0129999999999999</v>
      </c>
      <c r="J130" s="69">
        <v>5.0000000000000001E-3</v>
      </c>
      <c r="K130" s="69">
        <v>0.27</v>
      </c>
      <c r="L130" s="69">
        <v>0.49099999999999999</v>
      </c>
      <c r="M130" s="69">
        <v>0.34499999999999997</v>
      </c>
      <c r="N130" s="69">
        <v>0.95</v>
      </c>
      <c r="O130" s="69">
        <v>1.3049999999999999</v>
      </c>
      <c r="P130" s="69">
        <v>2.222</v>
      </c>
      <c r="Q130" s="69">
        <v>0.17899999999999999</v>
      </c>
      <c r="R130" s="69">
        <v>0.33100000000000002</v>
      </c>
      <c r="S130" s="69">
        <v>0.98099999999999998</v>
      </c>
      <c r="T130" s="69">
        <v>0.623</v>
      </c>
      <c r="U130" s="69">
        <v>0.497</v>
      </c>
      <c r="V130" s="69">
        <v>6.8000000000000005E-2</v>
      </c>
      <c r="W130" s="71">
        <v>0.66806666699999995</v>
      </c>
      <c r="X130" s="71">
        <v>0.14800448699999999</v>
      </c>
      <c r="Y130" s="69">
        <v>15</v>
      </c>
      <c r="Z130" s="71">
        <v>16.701666670000002</v>
      </c>
      <c r="AA130" s="71">
        <v>3.7001121819999998</v>
      </c>
    </row>
    <row r="131" spans="1:27">
      <c r="A131" s="72">
        <v>41122</v>
      </c>
      <c r="B131" t="s">
        <v>387</v>
      </c>
      <c r="C131" s="69" t="s">
        <v>432</v>
      </c>
      <c r="D131" s="69" t="s">
        <v>411</v>
      </c>
      <c r="E131" s="69" t="s">
        <v>412</v>
      </c>
      <c r="F131" s="69" t="s">
        <v>404</v>
      </c>
      <c r="G131" s="73" t="str">
        <f t="shared" ref="G131:G194" si="2">IF(OR(F131="blade",F131="sheath",F131="v1",F131="v0",F131="buds",F131="new buds",,F131="inflorescence",F131="inflor.",F131="inc. blade",F131="inc. sheath",F131="cys",F131="inflor/culm",F131="infl. bud",F131="inc. cys",F131="cys blade",F131="cys sheath",F131="sheath/culm",F131="new above",F131="new leaves",F131="new stems",F131="long leaf",F131="long stem",F131="short leaf",F131="short stem",F131="fruit"),"new above",IF(OR(F131="old stems",F131="old leaves",F131="old above",),"old above",IF(OR(F131="rhizome",F131="below",F131="below stems",F131="roots",),"below",IF(OR(F131="live",F131="live green"),"non-vascular",IF(OR(F131="standing dead",F131="litter"),"litter","")))))</f>
        <v>old above</v>
      </c>
      <c r="H131" s="69">
        <v>1.6859999999999999</v>
      </c>
      <c r="I131" s="69">
        <v>7.2030000000000003</v>
      </c>
      <c r="J131" s="69">
        <v>6.5410000000000004</v>
      </c>
      <c r="K131" s="69">
        <v>0.53100000000000003</v>
      </c>
      <c r="L131" s="69">
        <v>1.675</v>
      </c>
      <c r="M131" s="69">
        <v>3.3380000000000001</v>
      </c>
      <c r="N131" s="69">
        <v>0.34599999999999997</v>
      </c>
      <c r="O131" s="69">
        <v>4.4050000000000002</v>
      </c>
      <c r="P131" s="69">
        <v>5.7809999999999997</v>
      </c>
      <c r="Q131" s="69">
        <v>1.488</v>
      </c>
      <c r="R131" s="69">
        <v>2.8780000000000001</v>
      </c>
      <c r="S131" s="69">
        <v>3.1230000000000002</v>
      </c>
      <c r="T131" s="69">
        <v>2.5760000000000001</v>
      </c>
      <c r="U131" s="69">
        <v>1.659</v>
      </c>
      <c r="V131" s="69">
        <v>0.11600000000000001</v>
      </c>
      <c r="W131" s="71">
        <v>2.8897333330000001</v>
      </c>
      <c r="X131" s="71">
        <v>0.57353252499999996</v>
      </c>
      <c r="Y131" s="69">
        <v>15</v>
      </c>
      <c r="Z131" s="71">
        <v>72.243333329999999</v>
      </c>
      <c r="AA131" s="71">
        <v>14.33831312</v>
      </c>
    </row>
    <row r="132" spans="1:27">
      <c r="A132" s="72">
        <v>41122</v>
      </c>
      <c r="B132" t="s">
        <v>387</v>
      </c>
      <c r="C132" s="69" t="s">
        <v>432</v>
      </c>
      <c r="D132" s="69" t="s">
        <v>411</v>
      </c>
      <c r="E132" s="69" t="s">
        <v>412</v>
      </c>
      <c r="F132" s="69" t="s">
        <v>405</v>
      </c>
      <c r="G132" s="73" t="str">
        <f t="shared" si="2"/>
        <v>new above</v>
      </c>
      <c r="H132" s="69">
        <v>0</v>
      </c>
      <c r="I132" s="69">
        <v>0.39</v>
      </c>
      <c r="J132" s="69">
        <v>0.26200000000000001</v>
      </c>
      <c r="K132" s="69">
        <v>0</v>
      </c>
      <c r="L132" s="69">
        <v>1.4999999999999999E-2</v>
      </c>
      <c r="M132" s="69">
        <v>0</v>
      </c>
      <c r="N132" s="69">
        <v>0.04</v>
      </c>
      <c r="O132" s="69">
        <v>9.2999999999999999E-2</v>
      </c>
      <c r="P132" s="69">
        <v>5.8000000000000003E-2</v>
      </c>
      <c r="Q132" s="69">
        <v>0</v>
      </c>
      <c r="R132" s="69">
        <v>0.10100000000000001</v>
      </c>
      <c r="S132" s="69">
        <v>5.5E-2</v>
      </c>
      <c r="T132" s="69">
        <v>6.2E-2</v>
      </c>
      <c r="U132" s="69">
        <v>3.7999999999999999E-2</v>
      </c>
      <c r="V132" s="69">
        <v>0</v>
      </c>
      <c r="W132" s="71">
        <v>7.4266666999999995E-2</v>
      </c>
      <c r="X132" s="71">
        <v>2.8482487000000001E-2</v>
      </c>
      <c r="Y132" s="69">
        <v>15</v>
      </c>
      <c r="Z132" s="71">
        <v>1.856666667</v>
      </c>
      <c r="AA132" s="71">
        <v>0.71206217400000005</v>
      </c>
    </row>
    <row r="133" spans="1:27">
      <c r="A133" s="72">
        <v>41122</v>
      </c>
      <c r="B133" t="s">
        <v>387</v>
      </c>
      <c r="C133" s="69" t="s">
        <v>432</v>
      </c>
      <c r="D133" s="69" t="s">
        <v>411</v>
      </c>
      <c r="E133" s="69" t="s">
        <v>412</v>
      </c>
      <c r="F133" s="69" t="s">
        <v>406</v>
      </c>
      <c r="G133" s="73" t="str">
        <f t="shared" si="2"/>
        <v>below</v>
      </c>
      <c r="H133" s="69">
        <v>3.3090000000000002</v>
      </c>
      <c r="I133" s="69">
        <v>14.504</v>
      </c>
      <c r="J133" s="69">
        <v>17.7</v>
      </c>
      <c r="K133" s="69">
        <v>0.78300000000000003</v>
      </c>
      <c r="L133" s="69">
        <v>27.302</v>
      </c>
      <c r="M133" s="69">
        <v>1.2030000000000001</v>
      </c>
      <c r="N133" s="69">
        <v>0.90300000000000002</v>
      </c>
      <c r="O133" s="69">
        <v>13.569000000000001</v>
      </c>
      <c r="P133" s="69">
        <v>18.818000000000001</v>
      </c>
      <c r="Q133" s="69">
        <v>10.598000000000001</v>
      </c>
      <c r="R133" s="69">
        <v>6.2050000000000001</v>
      </c>
      <c r="S133" s="69">
        <v>7.4770000000000003</v>
      </c>
      <c r="T133" s="69">
        <v>1.9390000000000001</v>
      </c>
      <c r="U133" s="69">
        <v>6.5529999999999999</v>
      </c>
      <c r="V133" s="69">
        <v>0</v>
      </c>
      <c r="W133" s="71">
        <v>8.7241999999999997</v>
      </c>
      <c r="X133" s="71">
        <v>2.107658367</v>
      </c>
      <c r="Y133" s="69">
        <v>15</v>
      </c>
      <c r="Z133" s="71">
        <v>218.10499999999999</v>
      </c>
      <c r="AA133" s="71">
        <v>52.691459180000003</v>
      </c>
    </row>
    <row r="134" spans="1:27">
      <c r="A134" s="72">
        <v>41122</v>
      </c>
      <c r="B134" t="s">
        <v>387</v>
      </c>
      <c r="C134" s="69" t="s">
        <v>432</v>
      </c>
      <c r="D134" s="69" t="s">
        <v>411</v>
      </c>
      <c r="E134" s="69" t="s">
        <v>414</v>
      </c>
      <c r="F134" s="69" t="s">
        <v>402</v>
      </c>
      <c r="G134" s="73" t="str">
        <f t="shared" si="2"/>
        <v>new above</v>
      </c>
      <c r="H134" s="69">
        <v>0.83499999999999996</v>
      </c>
      <c r="I134" s="69">
        <v>1.367</v>
      </c>
      <c r="J134" s="69">
        <v>0.34100000000000003</v>
      </c>
      <c r="K134" s="69">
        <v>2.2570000000000001</v>
      </c>
      <c r="L134" s="69">
        <v>1.821</v>
      </c>
      <c r="M134" s="69">
        <v>0.65100000000000002</v>
      </c>
      <c r="N134" s="69">
        <v>0.61399999999999999</v>
      </c>
      <c r="O134" s="69">
        <v>0.58599999999999997</v>
      </c>
      <c r="P134" s="69">
        <v>0.28999999999999998</v>
      </c>
      <c r="Q134" s="69">
        <v>2.6539999999999999</v>
      </c>
      <c r="R134" s="69">
        <v>0.39100000000000001</v>
      </c>
      <c r="S134" s="69">
        <v>1.7989999999999999</v>
      </c>
      <c r="T134" s="69">
        <v>0.32900000000000001</v>
      </c>
      <c r="U134" s="69">
        <v>0.39900000000000002</v>
      </c>
      <c r="V134" s="69">
        <v>1.0609999999999999</v>
      </c>
      <c r="W134" s="71">
        <v>1.026333333</v>
      </c>
      <c r="X134" s="71">
        <v>0.19936013499999999</v>
      </c>
      <c r="Y134" s="69">
        <v>15</v>
      </c>
      <c r="Z134" s="71">
        <v>25.658333330000001</v>
      </c>
      <c r="AA134" s="71">
        <v>4.9840033789999998</v>
      </c>
    </row>
    <row r="135" spans="1:27">
      <c r="A135" s="72">
        <v>41122</v>
      </c>
      <c r="B135" t="s">
        <v>387</v>
      </c>
      <c r="C135" s="69" t="s">
        <v>432</v>
      </c>
      <c r="D135" s="69" t="s">
        <v>411</v>
      </c>
      <c r="E135" s="69" t="s">
        <v>414</v>
      </c>
      <c r="F135" s="69" t="s">
        <v>403</v>
      </c>
      <c r="G135" s="73" t="str">
        <f t="shared" si="2"/>
        <v>new above</v>
      </c>
      <c r="H135" s="69">
        <v>0.158</v>
      </c>
      <c r="I135" s="69">
        <v>0.28799999999999998</v>
      </c>
      <c r="J135" s="69">
        <v>7.0000000000000007E-2</v>
      </c>
      <c r="K135" s="69">
        <v>0.47299999999999998</v>
      </c>
      <c r="L135" s="69">
        <v>0.38</v>
      </c>
      <c r="M135" s="69">
        <v>0.17</v>
      </c>
      <c r="N135" s="69">
        <v>0.1</v>
      </c>
      <c r="O135" s="69">
        <v>8.5999999999999993E-2</v>
      </c>
      <c r="P135" s="69">
        <v>5.0999999999999997E-2</v>
      </c>
      <c r="Q135" s="69">
        <v>0.47899999999999998</v>
      </c>
      <c r="R135" s="69">
        <v>5.2999999999999999E-2</v>
      </c>
      <c r="S135" s="69">
        <v>0.47899999999999998</v>
      </c>
      <c r="T135" s="69">
        <v>5.1999999999999998E-2</v>
      </c>
      <c r="U135" s="69">
        <v>4.9000000000000002E-2</v>
      </c>
      <c r="V135" s="69">
        <v>0.218</v>
      </c>
      <c r="W135" s="71">
        <v>0.20706666700000001</v>
      </c>
      <c r="X135" s="71">
        <v>4.3698367000000002E-2</v>
      </c>
      <c r="Y135" s="69">
        <v>15</v>
      </c>
      <c r="Z135" s="71">
        <v>5.1766666670000001</v>
      </c>
      <c r="AA135" s="71">
        <v>1.092459182</v>
      </c>
    </row>
    <row r="136" spans="1:27">
      <c r="A136" s="72">
        <v>41122</v>
      </c>
      <c r="B136" t="s">
        <v>387</v>
      </c>
      <c r="C136" s="69" t="s">
        <v>432</v>
      </c>
      <c r="D136" s="69" t="s">
        <v>411</v>
      </c>
      <c r="E136" s="69" t="s">
        <v>414</v>
      </c>
      <c r="F136" s="69" t="s">
        <v>413</v>
      </c>
      <c r="G136" s="73" t="str">
        <f t="shared" si="2"/>
        <v>old above</v>
      </c>
      <c r="H136" s="69">
        <v>1.0089999999999999</v>
      </c>
      <c r="I136" s="69">
        <v>1.236</v>
      </c>
      <c r="J136" s="69">
        <v>0.79600000000000004</v>
      </c>
      <c r="K136" s="69">
        <v>0.56000000000000005</v>
      </c>
      <c r="L136" s="69">
        <v>0.754</v>
      </c>
      <c r="M136" s="69">
        <v>0.56100000000000005</v>
      </c>
      <c r="N136" s="69">
        <v>0.67800000000000005</v>
      </c>
      <c r="O136" s="69">
        <v>0.54400000000000004</v>
      </c>
      <c r="P136" s="69">
        <v>0.86099999999999999</v>
      </c>
      <c r="Q136" s="69">
        <v>1.1599999999999999</v>
      </c>
      <c r="R136" s="69">
        <v>0.624</v>
      </c>
      <c r="S136" s="69">
        <v>2.089</v>
      </c>
      <c r="T136" s="69">
        <v>0.41399999999999998</v>
      </c>
      <c r="U136" s="69">
        <v>0.50700000000000001</v>
      </c>
      <c r="V136" s="69">
        <v>0.53400000000000003</v>
      </c>
      <c r="W136" s="71">
        <v>0.82179999999999997</v>
      </c>
      <c r="X136" s="71">
        <v>0.110309962</v>
      </c>
      <c r="Y136" s="69">
        <v>15</v>
      </c>
      <c r="Z136" s="71">
        <v>20.545000000000002</v>
      </c>
      <c r="AA136" s="71">
        <v>2.7577490390000001</v>
      </c>
    </row>
    <row r="137" spans="1:27">
      <c r="A137" s="72">
        <v>41122</v>
      </c>
      <c r="B137" t="s">
        <v>387</v>
      </c>
      <c r="C137" s="69" t="s">
        <v>432</v>
      </c>
      <c r="D137" s="69" t="s">
        <v>411</v>
      </c>
      <c r="E137" s="69" t="s">
        <v>414</v>
      </c>
      <c r="F137" s="69" t="s">
        <v>404</v>
      </c>
      <c r="G137" s="73" t="str">
        <f t="shared" si="2"/>
        <v>old above</v>
      </c>
      <c r="H137" s="69">
        <v>0.443</v>
      </c>
      <c r="I137" s="69">
        <v>0.878</v>
      </c>
      <c r="J137" s="69">
        <v>0.41599999999999998</v>
      </c>
      <c r="K137" s="69">
        <v>0.53500000000000003</v>
      </c>
      <c r="L137" s="69">
        <v>1.266</v>
      </c>
      <c r="M137" s="69">
        <v>1.0580000000000001</v>
      </c>
      <c r="N137" s="69">
        <v>0.224</v>
      </c>
      <c r="O137" s="69">
        <v>0.24299999999999999</v>
      </c>
      <c r="P137" s="69">
        <v>0.46600000000000003</v>
      </c>
      <c r="Q137" s="69">
        <v>1.1200000000000001</v>
      </c>
      <c r="R137" s="69">
        <v>0.35099999999999998</v>
      </c>
      <c r="S137" s="69">
        <v>1.35</v>
      </c>
      <c r="T137" s="69">
        <v>0.36299999999999999</v>
      </c>
      <c r="U137" s="69">
        <v>0.40799999999999997</v>
      </c>
      <c r="V137" s="69">
        <v>0.42099999999999999</v>
      </c>
      <c r="W137" s="71">
        <v>0.63613333299999997</v>
      </c>
      <c r="X137" s="71">
        <v>9.9534768999999995E-2</v>
      </c>
      <c r="Y137" s="69">
        <v>15</v>
      </c>
      <c r="Z137" s="71">
        <v>15.903333330000001</v>
      </c>
      <c r="AA137" s="71">
        <v>2.4883692150000001</v>
      </c>
    </row>
    <row r="138" spans="1:27">
      <c r="A138" s="72">
        <v>41122</v>
      </c>
      <c r="B138" t="s">
        <v>387</v>
      </c>
      <c r="C138" s="69" t="s">
        <v>432</v>
      </c>
      <c r="D138" s="69" t="s">
        <v>411</v>
      </c>
      <c r="E138" s="69" t="s">
        <v>414</v>
      </c>
      <c r="F138" s="69" t="s">
        <v>405</v>
      </c>
      <c r="G138" s="73" t="str">
        <f t="shared" si="2"/>
        <v>new above</v>
      </c>
      <c r="H138" s="69">
        <v>1.9E-2</v>
      </c>
      <c r="I138" s="69">
        <v>0</v>
      </c>
      <c r="J138" s="69">
        <v>0</v>
      </c>
      <c r="K138" s="69">
        <v>0</v>
      </c>
      <c r="L138" s="69">
        <v>0</v>
      </c>
      <c r="M138" s="69">
        <v>0</v>
      </c>
      <c r="N138" s="69">
        <v>0</v>
      </c>
      <c r="O138" s="69">
        <v>0</v>
      </c>
      <c r="P138" s="69">
        <v>0</v>
      </c>
      <c r="Q138" s="69">
        <v>0</v>
      </c>
      <c r="R138" s="69">
        <v>0</v>
      </c>
      <c r="S138" s="69">
        <v>0</v>
      </c>
      <c r="T138" s="69">
        <v>0</v>
      </c>
      <c r="U138" s="69">
        <v>0</v>
      </c>
      <c r="V138" s="69">
        <v>0</v>
      </c>
      <c r="W138" s="71">
        <v>1.266667E-3</v>
      </c>
      <c r="X138" s="71">
        <v>1.266667E-3</v>
      </c>
      <c r="Y138" s="69">
        <v>15</v>
      </c>
      <c r="Z138" s="71">
        <v>3.1666667000000003E-2</v>
      </c>
      <c r="AA138" s="71">
        <v>3.1666667000000003E-2</v>
      </c>
    </row>
    <row r="139" spans="1:27">
      <c r="A139" s="72">
        <v>41122</v>
      </c>
      <c r="B139" t="s">
        <v>387</v>
      </c>
      <c r="C139" s="69" t="s">
        <v>432</v>
      </c>
      <c r="D139" s="69" t="s">
        <v>411</v>
      </c>
      <c r="E139" s="69" t="s">
        <v>414</v>
      </c>
      <c r="F139" s="69" t="s">
        <v>406</v>
      </c>
      <c r="G139" s="73" t="str">
        <f t="shared" si="2"/>
        <v>below</v>
      </c>
      <c r="H139" s="69">
        <v>0.81799999999999995</v>
      </c>
      <c r="I139" s="69">
        <v>3.08</v>
      </c>
      <c r="J139" s="69">
        <v>1.3089999999999999</v>
      </c>
      <c r="K139" s="69">
        <v>0.70299999999999996</v>
      </c>
      <c r="L139" s="69">
        <v>1.3879999999999999</v>
      </c>
      <c r="M139" s="69">
        <v>4.0999999999999996</v>
      </c>
      <c r="N139" s="69">
        <v>0.45100000000000001</v>
      </c>
      <c r="O139" s="69">
        <v>2.64</v>
      </c>
      <c r="P139" s="69">
        <v>1.9359999999999999</v>
      </c>
      <c r="Q139" s="69">
        <v>5.1280000000000001</v>
      </c>
      <c r="R139" s="69">
        <v>0.97199999999999998</v>
      </c>
      <c r="S139" s="69">
        <v>2.8610000000000002</v>
      </c>
      <c r="T139" s="69">
        <v>2.5</v>
      </c>
      <c r="U139" s="69">
        <v>0.86299999999999999</v>
      </c>
      <c r="V139" s="69">
        <v>1.4810000000000001</v>
      </c>
      <c r="W139" s="71">
        <v>2.0153333330000001</v>
      </c>
      <c r="X139" s="71">
        <v>0.34991119500000001</v>
      </c>
      <c r="Y139" s="69">
        <v>15</v>
      </c>
      <c r="Z139" s="71">
        <v>50.383333329999999</v>
      </c>
      <c r="AA139" s="71">
        <v>8.7477798769999993</v>
      </c>
    </row>
    <row r="140" spans="1:27">
      <c r="A140" s="72">
        <v>41122</v>
      </c>
      <c r="B140" t="s">
        <v>387</v>
      </c>
      <c r="C140" s="69" t="s">
        <v>432</v>
      </c>
      <c r="D140" s="69" t="s">
        <v>411</v>
      </c>
      <c r="E140" s="69" t="s">
        <v>415</v>
      </c>
      <c r="F140" s="69" t="s">
        <v>403</v>
      </c>
      <c r="G140" s="73" t="str">
        <f t="shared" si="2"/>
        <v>new above</v>
      </c>
      <c r="H140" s="69">
        <v>0</v>
      </c>
      <c r="I140" s="69">
        <v>0</v>
      </c>
      <c r="J140" s="69">
        <v>0</v>
      </c>
      <c r="K140" s="69">
        <v>0</v>
      </c>
      <c r="L140" s="69">
        <v>0</v>
      </c>
      <c r="M140" s="69">
        <v>0</v>
      </c>
      <c r="N140" s="69">
        <v>0</v>
      </c>
      <c r="O140" s="69">
        <v>0</v>
      </c>
      <c r="P140" s="69">
        <v>0</v>
      </c>
      <c r="Q140" s="69">
        <v>0</v>
      </c>
      <c r="R140" s="69">
        <v>0.27300000000000002</v>
      </c>
      <c r="S140" s="69">
        <v>0.122</v>
      </c>
      <c r="T140" s="69">
        <v>0</v>
      </c>
      <c r="U140" s="69">
        <v>0</v>
      </c>
      <c r="V140" s="69">
        <v>0</v>
      </c>
      <c r="W140" s="71">
        <v>2.6333333E-2</v>
      </c>
      <c r="X140" s="71">
        <v>1.9397022E-2</v>
      </c>
      <c r="Y140" s="69">
        <v>15</v>
      </c>
      <c r="Z140" s="71">
        <v>0.65833333299999997</v>
      </c>
      <c r="AA140" s="71">
        <v>0.48492553799999999</v>
      </c>
    </row>
    <row r="141" spans="1:27">
      <c r="A141" s="72">
        <v>41122</v>
      </c>
      <c r="B141" t="s">
        <v>387</v>
      </c>
      <c r="C141" s="69" t="s">
        <v>432</v>
      </c>
      <c r="D141" s="69" t="s">
        <v>411</v>
      </c>
      <c r="E141" s="69" t="s">
        <v>415</v>
      </c>
      <c r="F141" s="69" t="s">
        <v>404</v>
      </c>
      <c r="G141" s="73" t="str">
        <f t="shared" si="2"/>
        <v>old above</v>
      </c>
      <c r="H141" s="69">
        <v>0</v>
      </c>
      <c r="I141" s="69">
        <v>0</v>
      </c>
      <c r="J141" s="69">
        <v>0</v>
      </c>
      <c r="K141" s="69">
        <v>0</v>
      </c>
      <c r="L141" s="69">
        <v>0</v>
      </c>
      <c r="M141" s="69">
        <v>0</v>
      </c>
      <c r="N141" s="69">
        <v>0</v>
      </c>
      <c r="O141" s="69">
        <v>0</v>
      </c>
      <c r="P141" s="69">
        <v>0</v>
      </c>
      <c r="Q141" s="69">
        <v>0</v>
      </c>
      <c r="R141" s="69">
        <v>1.4970000000000001</v>
      </c>
      <c r="S141" s="69">
        <v>6.8000000000000005E-2</v>
      </c>
      <c r="T141" s="69">
        <v>0</v>
      </c>
      <c r="U141" s="69">
        <v>0</v>
      </c>
      <c r="V141" s="69">
        <v>0</v>
      </c>
      <c r="W141" s="71">
        <v>0.104333333</v>
      </c>
      <c r="X141" s="71">
        <v>9.9578906999999994E-2</v>
      </c>
      <c r="Y141" s="69">
        <v>15</v>
      </c>
      <c r="Z141" s="71">
        <v>2.608333333</v>
      </c>
      <c r="AA141" s="71">
        <v>2.4894726760000001</v>
      </c>
    </row>
    <row r="142" spans="1:27">
      <c r="A142" s="72">
        <v>41122</v>
      </c>
      <c r="B142" t="s">
        <v>387</v>
      </c>
      <c r="C142" s="69" t="s">
        <v>432</v>
      </c>
      <c r="D142" s="69" t="s">
        <v>411</v>
      </c>
      <c r="E142" s="69" t="s">
        <v>415</v>
      </c>
      <c r="F142" s="69" t="s">
        <v>405</v>
      </c>
      <c r="G142" s="73" t="str">
        <f t="shared" si="2"/>
        <v>new above</v>
      </c>
      <c r="H142" s="69">
        <v>0</v>
      </c>
      <c r="I142" s="69">
        <v>0</v>
      </c>
      <c r="J142" s="69">
        <v>0</v>
      </c>
      <c r="K142" s="69">
        <v>0</v>
      </c>
      <c r="L142" s="69">
        <v>0</v>
      </c>
      <c r="M142" s="69">
        <v>0</v>
      </c>
      <c r="N142" s="69">
        <v>0</v>
      </c>
      <c r="O142" s="69">
        <v>0</v>
      </c>
      <c r="P142" s="69">
        <v>0</v>
      </c>
      <c r="Q142" s="69">
        <v>0</v>
      </c>
      <c r="R142" s="69">
        <v>0</v>
      </c>
      <c r="S142" s="69">
        <v>0</v>
      </c>
      <c r="T142" s="69">
        <v>0</v>
      </c>
      <c r="U142" s="69">
        <v>0</v>
      </c>
      <c r="V142" s="69">
        <v>0</v>
      </c>
      <c r="W142" s="71">
        <v>0</v>
      </c>
      <c r="X142" s="71">
        <v>0</v>
      </c>
      <c r="Y142" s="69">
        <v>15</v>
      </c>
      <c r="Z142" s="71">
        <v>0</v>
      </c>
      <c r="AA142" s="71">
        <v>0</v>
      </c>
    </row>
    <row r="143" spans="1:27">
      <c r="A143" s="72">
        <v>41122</v>
      </c>
      <c r="B143" t="s">
        <v>387</v>
      </c>
      <c r="C143" s="69" t="s">
        <v>432</v>
      </c>
      <c r="D143" s="69" t="s">
        <v>411</v>
      </c>
      <c r="E143" s="69" t="s">
        <v>415</v>
      </c>
      <c r="F143" s="69" t="s">
        <v>406</v>
      </c>
      <c r="G143" s="73" t="str">
        <f t="shared" si="2"/>
        <v>below</v>
      </c>
      <c r="H143" s="69">
        <v>0</v>
      </c>
      <c r="I143" s="69">
        <v>0</v>
      </c>
      <c r="J143" s="69">
        <v>0</v>
      </c>
      <c r="K143" s="69">
        <v>0</v>
      </c>
      <c r="L143" s="69">
        <v>0</v>
      </c>
      <c r="M143" s="69">
        <v>0</v>
      </c>
      <c r="N143" s="69">
        <v>0</v>
      </c>
      <c r="O143" s="69">
        <v>0</v>
      </c>
      <c r="P143" s="69">
        <v>0</v>
      </c>
      <c r="Q143" s="69">
        <v>0</v>
      </c>
      <c r="R143" s="69">
        <v>0.114</v>
      </c>
      <c r="S143" s="69">
        <v>0</v>
      </c>
      <c r="T143" s="69">
        <v>0</v>
      </c>
      <c r="U143" s="69">
        <v>0</v>
      </c>
      <c r="V143" s="69">
        <v>0</v>
      </c>
      <c r="W143" s="71">
        <v>7.6E-3</v>
      </c>
      <c r="X143" s="71">
        <v>7.6E-3</v>
      </c>
      <c r="Y143" s="69">
        <v>15</v>
      </c>
      <c r="Z143" s="71">
        <v>0.19</v>
      </c>
      <c r="AA143" s="71">
        <v>0.19</v>
      </c>
    </row>
    <row r="144" spans="1:27">
      <c r="A144" s="72">
        <v>41122</v>
      </c>
      <c r="B144" t="s">
        <v>387</v>
      </c>
      <c r="C144" s="69" t="s">
        <v>432</v>
      </c>
      <c r="D144" s="69" t="s">
        <v>411</v>
      </c>
      <c r="E144" s="69" t="s">
        <v>417</v>
      </c>
      <c r="F144" s="69" t="s">
        <v>402</v>
      </c>
      <c r="G144" s="73" t="str">
        <f t="shared" si="2"/>
        <v>new above</v>
      </c>
      <c r="H144" s="69">
        <v>0</v>
      </c>
      <c r="I144" s="69">
        <v>0</v>
      </c>
      <c r="J144" s="69">
        <v>0</v>
      </c>
      <c r="K144" s="69">
        <v>0</v>
      </c>
      <c r="L144" s="69">
        <v>0</v>
      </c>
      <c r="M144" s="69">
        <v>0</v>
      </c>
      <c r="N144" s="69">
        <v>0</v>
      </c>
      <c r="O144" s="69">
        <v>0</v>
      </c>
      <c r="P144" s="69">
        <v>1E-3</v>
      </c>
      <c r="Q144" s="69">
        <v>5.0000000000000001E-3</v>
      </c>
      <c r="R144" s="69">
        <v>0</v>
      </c>
      <c r="S144" s="69">
        <v>0</v>
      </c>
      <c r="T144" s="69">
        <v>4.8000000000000001E-2</v>
      </c>
      <c r="U144" s="69">
        <v>0</v>
      </c>
      <c r="V144" s="69">
        <v>0.23899999999999999</v>
      </c>
      <c r="W144" s="71">
        <v>1.9533333E-2</v>
      </c>
      <c r="X144" s="71">
        <v>1.5995197999999999E-2</v>
      </c>
      <c r="Y144" s="69">
        <v>15</v>
      </c>
      <c r="Z144" s="71">
        <v>0.48833333299999998</v>
      </c>
      <c r="AA144" s="71">
        <v>0.39987994199999999</v>
      </c>
    </row>
    <row r="145" spans="1:27">
      <c r="A145" s="72">
        <v>41122</v>
      </c>
      <c r="B145" t="s">
        <v>387</v>
      </c>
      <c r="C145" s="69" t="s">
        <v>432</v>
      </c>
      <c r="D145" s="69" t="s">
        <v>411</v>
      </c>
      <c r="E145" s="69" t="s">
        <v>417</v>
      </c>
      <c r="F145" s="69" t="s">
        <v>403</v>
      </c>
      <c r="G145" s="73" t="str">
        <f t="shared" si="2"/>
        <v>new above</v>
      </c>
      <c r="H145" s="69">
        <v>0</v>
      </c>
      <c r="I145" s="69">
        <v>0</v>
      </c>
      <c r="J145" s="69">
        <v>0</v>
      </c>
      <c r="K145" s="69">
        <v>0</v>
      </c>
      <c r="L145" s="69">
        <v>0</v>
      </c>
      <c r="M145" s="69">
        <v>0</v>
      </c>
      <c r="N145" s="69">
        <v>0</v>
      </c>
      <c r="O145" s="69">
        <v>0</v>
      </c>
      <c r="P145" s="69">
        <v>0</v>
      </c>
      <c r="Q145" s="69">
        <v>1E-3</v>
      </c>
      <c r="R145" s="69">
        <v>0</v>
      </c>
      <c r="S145" s="69">
        <v>0</v>
      </c>
      <c r="T145" s="69">
        <v>8.0000000000000002E-3</v>
      </c>
      <c r="U145" s="69">
        <v>0</v>
      </c>
      <c r="V145" s="69">
        <v>7.2999999999999995E-2</v>
      </c>
      <c r="W145" s="71">
        <v>5.4666669999999997E-3</v>
      </c>
      <c r="X145" s="71">
        <v>4.8529489999999996E-3</v>
      </c>
      <c r="Y145" s="69">
        <v>15</v>
      </c>
      <c r="Z145" s="71">
        <v>0.13666666699999999</v>
      </c>
      <c r="AA145" s="71">
        <v>0.121323718</v>
      </c>
    </row>
    <row r="146" spans="1:27">
      <c r="A146" s="72">
        <v>41122</v>
      </c>
      <c r="B146" t="s">
        <v>387</v>
      </c>
      <c r="C146" s="69" t="s">
        <v>432</v>
      </c>
      <c r="D146" s="69" t="s">
        <v>411</v>
      </c>
      <c r="E146" s="69" t="s">
        <v>417</v>
      </c>
      <c r="F146" s="69" t="s">
        <v>413</v>
      </c>
      <c r="G146" s="73" t="str">
        <f t="shared" si="2"/>
        <v>old above</v>
      </c>
      <c r="H146" s="69">
        <v>0</v>
      </c>
      <c r="I146" s="69">
        <v>0</v>
      </c>
      <c r="J146" s="69">
        <v>0</v>
      </c>
      <c r="K146" s="69">
        <v>0</v>
      </c>
      <c r="L146" s="69">
        <v>0</v>
      </c>
      <c r="M146" s="69">
        <v>0</v>
      </c>
      <c r="N146" s="69">
        <v>0</v>
      </c>
      <c r="O146" s="69">
        <v>0</v>
      </c>
      <c r="P146" s="69">
        <v>0.01</v>
      </c>
      <c r="Q146" s="69">
        <v>2.5000000000000001E-2</v>
      </c>
      <c r="R146" s="69">
        <v>0</v>
      </c>
      <c r="S146" s="69">
        <v>0</v>
      </c>
      <c r="T146" s="69">
        <v>0.17299999999999999</v>
      </c>
      <c r="U146" s="69">
        <v>0</v>
      </c>
      <c r="V146" s="69">
        <v>1.276</v>
      </c>
      <c r="W146" s="71">
        <v>9.8933332999999998E-2</v>
      </c>
      <c r="X146" s="71">
        <v>8.4853177000000002E-2</v>
      </c>
      <c r="Y146" s="69">
        <v>15</v>
      </c>
      <c r="Z146" s="71">
        <v>2.4733333329999998</v>
      </c>
      <c r="AA146" s="71">
        <v>2.121329416</v>
      </c>
    </row>
    <row r="147" spans="1:27">
      <c r="A147" s="72">
        <v>41122</v>
      </c>
      <c r="B147" t="s">
        <v>387</v>
      </c>
      <c r="C147" s="69" t="s">
        <v>432</v>
      </c>
      <c r="D147" s="69" t="s">
        <v>411</v>
      </c>
      <c r="E147" s="69" t="s">
        <v>417</v>
      </c>
      <c r="F147" s="69" t="s">
        <v>404</v>
      </c>
      <c r="G147" s="73" t="str">
        <f t="shared" si="2"/>
        <v>old above</v>
      </c>
      <c r="H147" s="69">
        <v>0</v>
      </c>
      <c r="I147" s="69">
        <v>0</v>
      </c>
      <c r="J147" s="69">
        <v>0</v>
      </c>
      <c r="K147" s="69">
        <v>0</v>
      </c>
      <c r="L147" s="69">
        <v>0</v>
      </c>
      <c r="M147" s="69">
        <v>0</v>
      </c>
      <c r="N147" s="69">
        <v>0</v>
      </c>
      <c r="O147" s="69">
        <v>0</v>
      </c>
      <c r="P147" s="69">
        <v>2.7E-2</v>
      </c>
      <c r="Q147" s="69">
        <v>4.8000000000000001E-2</v>
      </c>
      <c r="R147" s="69">
        <v>0</v>
      </c>
      <c r="S147" s="69">
        <v>0</v>
      </c>
      <c r="T147" s="69">
        <v>0.309</v>
      </c>
      <c r="U147" s="69">
        <v>0</v>
      </c>
      <c r="V147" s="69">
        <v>0.63600000000000001</v>
      </c>
      <c r="W147" s="71">
        <v>6.8000000000000005E-2</v>
      </c>
      <c r="X147" s="71">
        <v>4.5442270999999999E-2</v>
      </c>
      <c r="Y147" s="69">
        <v>15</v>
      </c>
      <c r="Z147" s="71">
        <v>1.7</v>
      </c>
      <c r="AA147" s="71">
        <v>1.1360567770000001</v>
      </c>
    </row>
    <row r="148" spans="1:27">
      <c r="A148" s="72">
        <v>41122</v>
      </c>
      <c r="B148" t="s">
        <v>387</v>
      </c>
      <c r="C148" s="69" t="s">
        <v>432</v>
      </c>
      <c r="D148" s="69" t="s">
        <v>411</v>
      </c>
      <c r="E148" s="69" t="s">
        <v>417</v>
      </c>
      <c r="F148" s="69" t="s">
        <v>405</v>
      </c>
      <c r="G148" s="73" t="str">
        <f t="shared" si="2"/>
        <v>new above</v>
      </c>
      <c r="H148" s="69">
        <v>0</v>
      </c>
      <c r="I148" s="69">
        <v>0</v>
      </c>
      <c r="J148" s="69">
        <v>0</v>
      </c>
      <c r="K148" s="69">
        <v>0</v>
      </c>
      <c r="L148" s="69">
        <v>0</v>
      </c>
      <c r="M148" s="69">
        <v>0</v>
      </c>
      <c r="N148" s="69">
        <v>0</v>
      </c>
      <c r="O148" s="69">
        <v>0</v>
      </c>
      <c r="P148" s="69">
        <v>0</v>
      </c>
      <c r="Q148" s="69">
        <v>0</v>
      </c>
      <c r="R148" s="69">
        <v>0</v>
      </c>
      <c r="S148" s="69">
        <v>0</v>
      </c>
      <c r="T148" s="69">
        <v>0</v>
      </c>
      <c r="U148" s="69">
        <v>0</v>
      </c>
      <c r="V148" s="69">
        <v>0.14899999999999999</v>
      </c>
      <c r="W148" s="71">
        <v>9.9333330000000008E-3</v>
      </c>
      <c r="X148" s="71">
        <v>9.9333330000000008E-3</v>
      </c>
      <c r="Y148" s="69">
        <v>15</v>
      </c>
      <c r="Z148" s="71">
        <v>0.24833333299999999</v>
      </c>
      <c r="AA148" s="71">
        <v>0.24833333299999999</v>
      </c>
    </row>
    <row r="149" spans="1:27">
      <c r="A149" s="72">
        <v>41122</v>
      </c>
      <c r="B149" t="s">
        <v>387</v>
      </c>
      <c r="C149" s="69" t="s">
        <v>432</v>
      </c>
      <c r="D149" s="69" t="s">
        <v>411</v>
      </c>
      <c r="E149" s="69" t="s">
        <v>417</v>
      </c>
      <c r="F149" s="69" t="s">
        <v>406</v>
      </c>
      <c r="G149" s="73" t="str">
        <f t="shared" si="2"/>
        <v>below</v>
      </c>
      <c r="H149" s="69">
        <v>0</v>
      </c>
      <c r="I149" s="69">
        <v>0</v>
      </c>
      <c r="J149" s="69">
        <v>0</v>
      </c>
      <c r="K149" s="69">
        <v>0</v>
      </c>
      <c r="L149" s="69">
        <v>0</v>
      </c>
      <c r="M149" s="69">
        <v>0</v>
      </c>
      <c r="N149" s="69">
        <v>0</v>
      </c>
      <c r="O149" s="69">
        <v>0</v>
      </c>
      <c r="P149" s="69">
        <v>2.3E-2</v>
      </c>
      <c r="Q149" s="69">
        <v>0.2</v>
      </c>
      <c r="R149" s="69">
        <v>0</v>
      </c>
      <c r="S149" s="69">
        <v>0</v>
      </c>
      <c r="T149" s="69">
        <v>0</v>
      </c>
      <c r="U149" s="69">
        <v>0</v>
      </c>
      <c r="V149" s="69">
        <v>0.29899999999999999</v>
      </c>
      <c r="W149" s="71">
        <v>3.4799999999999998E-2</v>
      </c>
      <c r="X149" s="71">
        <v>2.3069708000000001E-2</v>
      </c>
      <c r="Y149" s="69">
        <v>15</v>
      </c>
      <c r="Z149" s="71">
        <v>0.87</v>
      </c>
      <c r="AA149" s="71">
        <v>0.57674270100000002</v>
      </c>
    </row>
    <row r="150" spans="1:27">
      <c r="A150" s="72">
        <v>41122</v>
      </c>
      <c r="B150" t="s">
        <v>387</v>
      </c>
      <c r="C150" s="69" t="s">
        <v>432</v>
      </c>
      <c r="D150" s="69" t="s">
        <v>418</v>
      </c>
      <c r="E150" s="69" t="s">
        <v>419</v>
      </c>
      <c r="F150" s="69" t="s">
        <v>420</v>
      </c>
      <c r="G150" s="73" t="str">
        <f t="shared" si="2"/>
        <v>new above</v>
      </c>
      <c r="H150" s="69">
        <v>0.216</v>
      </c>
      <c r="I150" s="69">
        <v>0</v>
      </c>
      <c r="J150" s="69">
        <v>0</v>
      </c>
      <c r="K150" s="69">
        <v>0</v>
      </c>
      <c r="L150" s="69">
        <v>0.27100000000000002</v>
      </c>
      <c r="M150" s="69">
        <v>0.51900000000000002</v>
      </c>
      <c r="N150" s="69">
        <v>0</v>
      </c>
      <c r="O150" s="69">
        <v>0.255</v>
      </c>
      <c r="P150" s="69">
        <v>0.33100000000000002</v>
      </c>
      <c r="Q150" s="69">
        <v>7.3999999999999996E-2</v>
      </c>
      <c r="R150" s="69">
        <v>0</v>
      </c>
      <c r="S150" s="69">
        <v>0</v>
      </c>
      <c r="T150" s="69">
        <v>0</v>
      </c>
      <c r="U150" s="69">
        <v>0</v>
      </c>
      <c r="V150" s="69">
        <v>0</v>
      </c>
      <c r="W150" s="71">
        <v>0.11106666699999999</v>
      </c>
      <c r="X150" s="71">
        <v>4.2788680000000003E-2</v>
      </c>
      <c r="Y150" s="69">
        <v>15</v>
      </c>
      <c r="Z150" s="71">
        <v>2.7766666670000002</v>
      </c>
      <c r="AA150" s="71">
        <v>1.0697169929999999</v>
      </c>
    </row>
    <row r="151" spans="1:27">
      <c r="A151" s="72">
        <v>41122</v>
      </c>
      <c r="B151" t="s">
        <v>387</v>
      </c>
      <c r="C151" s="69" t="s">
        <v>432</v>
      </c>
      <c r="D151" s="69" t="s">
        <v>418</v>
      </c>
      <c r="E151" s="69" t="s">
        <v>419</v>
      </c>
      <c r="F151" s="69" t="s">
        <v>421</v>
      </c>
      <c r="G151" s="73" t="str">
        <f t="shared" si="2"/>
        <v>below</v>
      </c>
      <c r="H151" s="69">
        <v>0.51800000000000002</v>
      </c>
      <c r="I151" s="69">
        <v>0.50700000000000001</v>
      </c>
      <c r="J151" s="69">
        <v>0.09</v>
      </c>
      <c r="K151" s="69">
        <v>0</v>
      </c>
      <c r="L151" s="69">
        <v>0.318</v>
      </c>
      <c r="M151" s="69">
        <v>2.9849999999999999</v>
      </c>
      <c r="N151" s="69">
        <v>0</v>
      </c>
      <c r="O151" s="69">
        <v>1.52</v>
      </c>
      <c r="P151" s="69">
        <v>2.1269999999999998</v>
      </c>
      <c r="Q151" s="69">
        <v>1.331</v>
      </c>
      <c r="R151" s="69">
        <v>0</v>
      </c>
      <c r="S151" s="69">
        <v>0</v>
      </c>
      <c r="T151" s="69">
        <v>0</v>
      </c>
      <c r="U151" s="69">
        <v>0</v>
      </c>
      <c r="V151" s="69">
        <v>0</v>
      </c>
      <c r="W151" s="71">
        <v>0.62639999999999996</v>
      </c>
      <c r="X151" s="71">
        <v>0.24167331</v>
      </c>
      <c r="Y151" s="69">
        <v>15</v>
      </c>
      <c r="Z151" s="71">
        <v>15.66</v>
      </c>
      <c r="AA151" s="71">
        <v>6.0418327400000003</v>
      </c>
    </row>
    <row r="152" spans="1:27">
      <c r="A152" s="72">
        <v>41122</v>
      </c>
      <c r="B152" t="s">
        <v>387</v>
      </c>
      <c r="C152" s="69" t="s">
        <v>432</v>
      </c>
      <c r="D152" s="69" t="s">
        <v>418</v>
      </c>
      <c r="E152" s="69" t="s">
        <v>422</v>
      </c>
      <c r="F152" s="69" t="s">
        <v>420</v>
      </c>
      <c r="G152" s="73" t="str">
        <f t="shared" si="2"/>
        <v>new above</v>
      </c>
      <c r="H152" s="69">
        <v>1.6E-2</v>
      </c>
      <c r="I152" s="69">
        <v>5.8999999999999997E-2</v>
      </c>
      <c r="J152" s="69">
        <v>0</v>
      </c>
      <c r="K152" s="69">
        <v>0</v>
      </c>
      <c r="L152" s="69">
        <v>0</v>
      </c>
      <c r="M152" s="69">
        <v>0</v>
      </c>
      <c r="N152" s="69">
        <v>0</v>
      </c>
      <c r="O152" s="69">
        <v>0</v>
      </c>
      <c r="P152" s="69">
        <v>0</v>
      </c>
      <c r="Q152" s="69">
        <v>0</v>
      </c>
      <c r="R152" s="69">
        <v>0</v>
      </c>
      <c r="S152" s="69">
        <v>0</v>
      </c>
      <c r="T152" s="69">
        <v>0</v>
      </c>
      <c r="U152" s="69">
        <v>0</v>
      </c>
      <c r="V152" s="69">
        <v>0</v>
      </c>
      <c r="W152" s="71">
        <v>5.0000000000000001E-3</v>
      </c>
      <c r="X152" s="71">
        <v>4.00119E-3</v>
      </c>
      <c r="Y152" s="69">
        <v>15</v>
      </c>
      <c r="Z152" s="71">
        <v>0.125</v>
      </c>
      <c r="AA152" s="71">
        <v>0.100029757</v>
      </c>
    </row>
    <row r="153" spans="1:27">
      <c r="A153" s="72">
        <v>41122</v>
      </c>
      <c r="B153" t="s">
        <v>387</v>
      </c>
      <c r="C153" s="69" t="s">
        <v>432</v>
      </c>
      <c r="D153" s="69" t="s">
        <v>418</v>
      </c>
      <c r="E153" s="69" t="s">
        <v>422</v>
      </c>
      <c r="F153" s="69" t="s">
        <v>421</v>
      </c>
      <c r="G153" s="73" t="str">
        <f t="shared" si="2"/>
        <v>below</v>
      </c>
      <c r="H153" s="69">
        <v>0.24</v>
      </c>
      <c r="I153" s="69">
        <v>0.81599999999999995</v>
      </c>
      <c r="J153" s="69">
        <v>0</v>
      </c>
      <c r="K153" s="69">
        <v>0</v>
      </c>
      <c r="L153" s="69">
        <v>0</v>
      </c>
      <c r="M153" s="69">
        <v>0</v>
      </c>
      <c r="N153" s="69">
        <v>0</v>
      </c>
      <c r="O153" s="69">
        <v>0</v>
      </c>
      <c r="P153" s="69">
        <v>0</v>
      </c>
      <c r="Q153" s="69">
        <v>0</v>
      </c>
      <c r="R153" s="69">
        <v>0</v>
      </c>
      <c r="S153" s="69">
        <v>0</v>
      </c>
      <c r="T153" s="69">
        <v>0</v>
      </c>
      <c r="U153" s="69">
        <v>0</v>
      </c>
      <c r="V153" s="69">
        <v>0</v>
      </c>
      <c r="W153" s="71">
        <v>7.0400000000000004E-2</v>
      </c>
      <c r="X153" s="71">
        <v>5.5596917000000003E-2</v>
      </c>
      <c r="Y153" s="69">
        <v>15</v>
      </c>
      <c r="Z153" s="71">
        <v>1.76</v>
      </c>
      <c r="AA153" s="71">
        <v>1.389922917</v>
      </c>
    </row>
    <row r="154" spans="1:27">
      <c r="A154" s="72">
        <v>41122</v>
      </c>
      <c r="B154" t="s">
        <v>387</v>
      </c>
      <c r="C154" s="69" t="s">
        <v>432</v>
      </c>
      <c r="D154" s="69" t="s">
        <v>418</v>
      </c>
      <c r="E154" s="69" t="s">
        <v>423</v>
      </c>
      <c r="F154" s="69" t="s">
        <v>420</v>
      </c>
      <c r="G154" s="73" t="str">
        <f t="shared" si="2"/>
        <v>new above</v>
      </c>
      <c r="H154" s="69">
        <v>0</v>
      </c>
      <c r="I154" s="69">
        <v>0</v>
      </c>
      <c r="J154" s="69">
        <v>0</v>
      </c>
      <c r="K154" s="69">
        <v>0</v>
      </c>
      <c r="L154" s="69">
        <v>0</v>
      </c>
      <c r="M154" s="69">
        <v>0</v>
      </c>
      <c r="N154" s="69">
        <v>0</v>
      </c>
      <c r="O154" s="69">
        <v>0</v>
      </c>
      <c r="P154" s="69">
        <v>0</v>
      </c>
      <c r="Q154" s="69">
        <v>0</v>
      </c>
      <c r="R154" s="69">
        <v>0</v>
      </c>
      <c r="S154" s="69">
        <v>0</v>
      </c>
      <c r="T154" s="69">
        <v>0</v>
      </c>
      <c r="U154" s="69">
        <v>0</v>
      </c>
      <c r="V154" s="69">
        <v>0</v>
      </c>
      <c r="W154" s="71">
        <v>0</v>
      </c>
      <c r="X154" s="71">
        <v>0</v>
      </c>
      <c r="Y154" s="69">
        <v>15</v>
      </c>
      <c r="Z154" s="71">
        <v>0</v>
      </c>
      <c r="AA154" s="71">
        <v>0</v>
      </c>
    </row>
    <row r="155" spans="1:27">
      <c r="A155" s="72">
        <v>41122</v>
      </c>
      <c r="B155" t="s">
        <v>387</v>
      </c>
      <c r="C155" s="69" t="s">
        <v>432</v>
      </c>
      <c r="D155" s="69" t="s">
        <v>418</v>
      </c>
      <c r="E155" s="69" t="s">
        <v>423</v>
      </c>
      <c r="F155" s="69" t="s">
        <v>421</v>
      </c>
      <c r="G155" s="73" t="str">
        <f t="shared" si="2"/>
        <v>below</v>
      </c>
      <c r="H155" s="69">
        <v>0</v>
      </c>
      <c r="I155" s="69">
        <v>0</v>
      </c>
      <c r="J155" s="69">
        <v>0</v>
      </c>
      <c r="K155" s="69">
        <v>0</v>
      </c>
      <c r="L155" s="69">
        <v>0</v>
      </c>
      <c r="M155" s="69">
        <v>0</v>
      </c>
      <c r="N155" s="69">
        <v>0</v>
      </c>
      <c r="O155" s="69">
        <v>0</v>
      </c>
      <c r="P155" s="69">
        <v>0</v>
      </c>
      <c r="Q155" s="69">
        <v>0</v>
      </c>
      <c r="R155" s="69">
        <v>0</v>
      </c>
      <c r="S155" s="69">
        <v>0</v>
      </c>
      <c r="T155" s="69">
        <v>0</v>
      </c>
      <c r="U155" s="69">
        <v>0</v>
      </c>
      <c r="V155" s="69">
        <v>0</v>
      </c>
      <c r="W155" s="71">
        <v>0</v>
      </c>
      <c r="X155" s="71">
        <v>0</v>
      </c>
      <c r="Y155" s="69">
        <v>15</v>
      </c>
      <c r="Z155" s="71">
        <v>0</v>
      </c>
      <c r="AA155" s="71">
        <v>0</v>
      </c>
    </row>
    <row r="156" spans="1:27">
      <c r="A156" s="72">
        <v>41122</v>
      </c>
      <c r="B156" t="s">
        <v>387</v>
      </c>
      <c r="C156" s="69" t="s">
        <v>432</v>
      </c>
      <c r="D156" s="69" t="s">
        <v>418</v>
      </c>
      <c r="E156" s="69" t="s">
        <v>424</v>
      </c>
      <c r="F156" s="69" t="s">
        <v>420</v>
      </c>
      <c r="G156" s="73" t="str">
        <f t="shared" si="2"/>
        <v>new above</v>
      </c>
      <c r="H156" s="69">
        <v>0</v>
      </c>
      <c r="I156" s="69">
        <v>0</v>
      </c>
      <c r="J156" s="69">
        <v>0</v>
      </c>
      <c r="K156" s="69">
        <v>0</v>
      </c>
      <c r="L156" s="69">
        <v>0</v>
      </c>
      <c r="M156" s="69">
        <v>0</v>
      </c>
      <c r="N156" s="69">
        <v>0</v>
      </c>
      <c r="O156" s="69">
        <v>8.9999999999999993E-3</v>
      </c>
      <c r="P156" s="69">
        <v>0</v>
      </c>
      <c r="Q156" s="69">
        <v>0</v>
      </c>
      <c r="R156" s="69">
        <v>0</v>
      </c>
      <c r="S156" s="69">
        <v>0</v>
      </c>
      <c r="T156" s="69">
        <v>0</v>
      </c>
      <c r="U156" s="69">
        <v>0</v>
      </c>
      <c r="V156" s="69">
        <v>0</v>
      </c>
      <c r="W156" s="71">
        <v>5.9999999999999995E-4</v>
      </c>
      <c r="X156" s="71">
        <v>5.9999999999999995E-4</v>
      </c>
      <c r="Y156" s="69">
        <v>15</v>
      </c>
      <c r="Z156" s="71">
        <v>1.4999999999999999E-2</v>
      </c>
      <c r="AA156" s="71">
        <v>1.4999999999999999E-2</v>
      </c>
    </row>
    <row r="157" spans="1:27">
      <c r="A157" s="72">
        <v>41122</v>
      </c>
      <c r="B157" t="s">
        <v>387</v>
      </c>
      <c r="C157" s="69" t="s">
        <v>432</v>
      </c>
      <c r="D157" s="69" t="s">
        <v>418</v>
      </c>
      <c r="E157" s="69" t="s">
        <v>424</v>
      </c>
      <c r="F157" s="69" t="s">
        <v>421</v>
      </c>
      <c r="G157" s="73" t="str">
        <f t="shared" si="2"/>
        <v>below</v>
      </c>
      <c r="H157" s="69">
        <v>0</v>
      </c>
      <c r="I157" s="69">
        <v>0</v>
      </c>
      <c r="J157" s="69">
        <v>0</v>
      </c>
      <c r="K157" s="69">
        <v>0</v>
      </c>
      <c r="L157" s="69">
        <v>0</v>
      </c>
      <c r="M157" s="69">
        <v>0</v>
      </c>
      <c r="N157" s="69">
        <v>0</v>
      </c>
      <c r="O157" s="69">
        <v>6.4000000000000001E-2</v>
      </c>
      <c r="P157" s="69">
        <v>0.182</v>
      </c>
      <c r="Q157" s="69">
        <v>0</v>
      </c>
      <c r="R157" s="69">
        <v>0</v>
      </c>
      <c r="S157" s="69">
        <v>0</v>
      </c>
      <c r="T157" s="69">
        <v>0</v>
      </c>
      <c r="U157" s="69">
        <v>0</v>
      </c>
      <c r="V157" s="69">
        <v>0</v>
      </c>
      <c r="W157" s="71">
        <v>1.6400000000000001E-2</v>
      </c>
      <c r="X157" s="71">
        <v>1.2570866E-2</v>
      </c>
      <c r="Y157" s="69">
        <v>15</v>
      </c>
      <c r="Z157" s="71">
        <v>0.41</v>
      </c>
      <c r="AA157" s="71">
        <v>0.31427164499999999</v>
      </c>
    </row>
    <row r="158" spans="1:27">
      <c r="A158" s="72">
        <v>41122</v>
      </c>
      <c r="B158" t="s">
        <v>387</v>
      </c>
      <c r="C158" s="69" t="s">
        <v>432</v>
      </c>
      <c r="D158" s="69" t="s">
        <v>425</v>
      </c>
      <c r="E158" s="69" t="s">
        <v>426</v>
      </c>
      <c r="F158" s="69" t="s">
        <v>427</v>
      </c>
      <c r="G158" s="73" t="str">
        <f t="shared" si="2"/>
        <v/>
      </c>
      <c r="H158" s="69">
        <v>0</v>
      </c>
      <c r="I158" s="69">
        <v>0</v>
      </c>
      <c r="J158" s="69">
        <v>0</v>
      </c>
      <c r="K158" s="69">
        <v>0</v>
      </c>
      <c r="L158" s="69">
        <v>0</v>
      </c>
      <c r="M158" s="69">
        <v>6.9669999999999996</v>
      </c>
      <c r="N158" s="69">
        <v>0</v>
      </c>
      <c r="O158" s="69">
        <v>1.1459999999999999</v>
      </c>
      <c r="P158" s="69">
        <v>5.1059999999999999</v>
      </c>
      <c r="Q158" s="69">
        <v>0</v>
      </c>
      <c r="R158" s="69">
        <v>0</v>
      </c>
      <c r="S158" s="69">
        <v>0</v>
      </c>
      <c r="T158" s="69">
        <v>0</v>
      </c>
      <c r="U158" s="69">
        <v>0</v>
      </c>
      <c r="V158" s="69">
        <v>0</v>
      </c>
      <c r="W158" s="71">
        <v>0.881266667</v>
      </c>
      <c r="X158" s="71">
        <v>0.55323368399999995</v>
      </c>
      <c r="Y158" s="69">
        <v>15</v>
      </c>
      <c r="Z158" s="71">
        <v>22.03166667</v>
      </c>
      <c r="AA158" s="71">
        <v>13.8308421</v>
      </c>
    </row>
    <row r="159" spans="1:27">
      <c r="A159" s="72">
        <v>41122</v>
      </c>
      <c r="B159" t="s">
        <v>387</v>
      </c>
      <c r="C159" s="69" t="s">
        <v>432</v>
      </c>
      <c r="D159" s="69" t="s">
        <v>425</v>
      </c>
      <c r="E159" s="69" t="s">
        <v>428</v>
      </c>
      <c r="F159" s="69" t="s">
        <v>427</v>
      </c>
      <c r="G159" s="73" t="str">
        <f t="shared" si="2"/>
        <v/>
      </c>
      <c r="H159" s="69">
        <v>4.6289999999999996</v>
      </c>
      <c r="I159" s="69">
        <v>4.8540000000000001</v>
      </c>
      <c r="J159" s="69">
        <v>5.17</v>
      </c>
      <c r="K159" s="69">
        <v>2.9430000000000001</v>
      </c>
      <c r="L159" s="69">
        <v>4.3719999999999999</v>
      </c>
      <c r="M159" s="69">
        <v>0.32600000000000001</v>
      </c>
      <c r="N159" s="69">
        <v>2.2679999999999998</v>
      </c>
      <c r="O159" s="69">
        <v>1.7130000000000001</v>
      </c>
      <c r="P159" s="69">
        <v>0.151</v>
      </c>
      <c r="Q159" s="69">
        <v>3.7240000000000002</v>
      </c>
      <c r="R159" s="69">
        <v>2.6579999999999999</v>
      </c>
      <c r="S159" s="69">
        <v>0.27300000000000002</v>
      </c>
      <c r="T159" s="69">
        <v>0.157</v>
      </c>
      <c r="U159" s="69">
        <v>4.1280000000000001</v>
      </c>
      <c r="V159" s="69">
        <v>1.052</v>
      </c>
      <c r="W159" s="71">
        <v>2.5611999999999999</v>
      </c>
      <c r="X159" s="71">
        <v>0.48049569800000003</v>
      </c>
      <c r="Y159" s="69">
        <v>15</v>
      </c>
      <c r="Z159" s="71">
        <v>64.03</v>
      </c>
      <c r="AA159" s="71">
        <v>12.012392459999999</v>
      </c>
    </row>
    <row r="160" spans="1:27">
      <c r="A160" s="72">
        <v>41122</v>
      </c>
      <c r="B160" t="s">
        <v>387</v>
      </c>
      <c r="C160" s="69" t="s">
        <v>432</v>
      </c>
      <c r="D160" s="69" t="s">
        <v>429</v>
      </c>
      <c r="E160" s="69" t="s">
        <v>430</v>
      </c>
      <c r="F160" s="69" t="s">
        <v>431</v>
      </c>
      <c r="G160" s="73" t="str">
        <f t="shared" si="2"/>
        <v>non-vascular</v>
      </c>
      <c r="H160" s="69">
        <v>4.1529999999999996</v>
      </c>
      <c r="I160" s="69">
        <v>2.48</v>
      </c>
      <c r="J160" s="69">
        <v>0.73</v>
      </c>
      <c r="K160" s="69">
        <v>8.9999999999999993E-3</v>
      </c>
      <c r="L160" s="69">
        <v>1.0409999999999999</v>
      </c>
      <c r="M160" s="69">
        <v>0</v>
      </c>
      <c r="N160" s="69">
        <v>3.8250000000000002</v>
      </c>
      <c r="O160" s="69">
        <v>0.62</v>
      </c>
      <c r="P160" s="69">
        <v>0</v>
      </c>
      <c r="Q160" s="69">
        <v>6.3739999999999997</v>
      </c>
      <c r="R160" s="69">
        <v>2.0830000000000002</v>
      </c>
      <c r="S160" s="69">
        <v>4.3230000000000004</v>
      </c>
      <c r="T160" s="69">
        <v>0.69499999999999995</v>
      </c>
      <c r="U160" s="69">
        <v>5.5640000000000001</v>
      </c>
      <c r="V160" s="69">
        <v>3.5419999999999998</v>
      </c>
      <c r="W160" s="71">
        <v>2.3626</v>
      </c>
      <c r="X160" s="71">
        <v>0.55180782399999995</v>
      </c>
      <c r="Y160" s="69">
        <v>15</v>
      </c>
      <c r="Z160" s="71">
        <v>59.064999999999998</v>
      </c>
      <c r="AA160" s="71">
        <v>13.795195590000001</v>
      </c>
    </row>
    <row r="161" spans="1:27">
      <c r="A161" s="72">
        <v>41122</v>
      </c>
      <c r="B161" t="s">
        <v>387</v>
      </c>
      <c r="C161" s="69" t="s">
        <v>434</v>
      </c>
      <c r="D161" s="69" t="s">
        <v>389</v>
      </c>
      <c r="E161" s="69" t="s">
        <v>390</v>
      </c>
      <c r="F161" s="69" t="s">
        <v>391</v>
      </c>
      <c r="G161" s="73" t="str">
        <f t="shared" si="2"/>
        <v>new above</v>
      </c>
      <c r="H161" s="69">
        <v>6.1719999999999997</v>
      </c>
      <c r="I161" s="69">
        <v>3.4769999999999999</v>
      </c>
      <c r="J161" s="69">
        <v>0.12</v>
      </c>
      <c r="K161" s="69">
        <v>1.488</v>
      </c>
      <c r="L161" s="69">
        <v>1.736</v>
      </c>
      <c r="M161" s="69">
        <v>0</v>
      </c>
      <c r="N161" s="69">
        <v>8.7999999999999995E-2</v>
      </c>
      <c r="O161" s="69">
        <v>1.1299999999999999</v>
      </c>
      <c r="P161" s="69">
        <v>2.742</v>
      </c>
      <c r="Q161" s="69">
        <v>1.0089999999999999</v>
      </c>
      <c r="R161" s="69">
        <v>5.87</v>
      </c>
      <c r="S161" s="69">
        <v>1.9590000000000001</v>
      </c>
      <c r="T161" s="69">
        <v>7.7960000000000003</v>
      </c>
      <c r="U161" s="69">
        <v>0.43</v>
      </c>
      <c r="V161" s="69">
        <v>8.9939999999999998</v>
      </c>
      <c r="W161" s="71">
        <v>2.8673999999999999</v>
      </c>
      <c r="X161" s="71">
        <v>0.76240856899999998</v>
      </c>
      <c r="Y161" s="69">
        <v>15</v>
      </c>
      <c r="Z161" s="71">
        <v>71.685000000000002</v>
      </c>
      <c r="AA161" s="71">
        <v>19.06021423</v>
      </c>
    </row>
    <row r="162" spans="1:27">
      <c r="A162" s="72">
        <v>41122</v>
      </c>
      <c r="B162" t="s">
        <v>387</v>
      </c>
      <c r="C162" s="69" t="s">
        <v>434</v>
      </c>
      <c r="D162" s="69" t="s">
        <v>389</v>
      </c>
      <c r="E162" s="69" t="s">
        <v>390</v>
      </c>
      <c r="F162" s="69" t="s">
        <v>392</v>
      </c>
      <c r="G162" s="73" t="str">
        <f t="shared" si="2"/>
        <v>new above</v>
      </c>
      <c r="H162" s="69">
        <v>4.3959999999999999</v>
      </c>
      <c r="I162" s="69">
        <v>3.3530000000000002</v>
      </c>
      <c r="J162" s="69">
        <v>3.5999999999999997E-2</v>
      </c>
      <c r="K162" s="69">
        <v>1.27</v>
      </c>
      <c r="L162" s="69">
        <v>1.891</v>
      </c>
      <c r="M162" s="69">
        <v>0</v>
      </c>
      <c r="N162" s="69">
        <v>6.7000000000000004E-2</v>
      </c>
      <c r="O162" s="69">
        <v>1.353</v>
      </c>
      <c r="P162" s="69">
        <v>2.1890000000000001</v>
      </c>
      <c r="Q162" s="69">
        <v>0.92600000000000005</v>
      </c>
      <c r="R162" s="69">
        <v>4.9210000000000003</v>
      </c>
      <c r="S162" s="69">
        <v>1.02</v>
      </c>
      <c r="T162" s="69">
        <v>4.8789999999999996</v>
      </c>
      <c r="U162" s="69">
        <v>0.38700000000000001</v>
      </c>
      <c r="V162" s="69">
        <v>8.4429999999999996</v>
      </c>
      <c r="W162" s="71">
        <v>2.3420666670000001</v>
      </c>
      <c r="X162" s="71">
        <v>0.62281218199999999</v>
      </c>
      <c r="Y162" s="69">
        <v>15</v>
      </c>
      <c r="Z162" s="71">
        <v>58.551666670000003</v>
      </c>
      <c r="AA162" s="71">
        <v>15.570304549999999</v>
      </c>
    </row>
    <row r="163" spans="1:27">
      <c r="A163" s="72">
        <v>41122</v>
      </c>
      <c r="B163" t="s">
        <v>387</v>
      </c>
      <c r="C163" s="69" t="s">
        <v>434</v>
      </c>
      <c r="D163" s="69" t="s">
        <v>389</v>
      </c>
      <c r="E163" s="69" t="s">
        <v>390</v>
      </c>
      <c r="F163" s="69" t="s">
        <v>393</v>
      </c>
      <c r="G163" s="73" t="str">
        <f t="shared" si="2"/>
        <v>new above</v>
      </c>
      <c r="H163" s="69">
        <v>0</v>
      </c>
      <c r="I163" s="69">
        <v>0</v>
      </c>
      <c r="J163" s="69">
        <v>0</v>
      </c>
      <c r="K163" s="69">
        <v>0</v>
      </c>
      <c r="L163" s="69">
        <v>0</v>
      </c>
      <c r="M163" s="69">
        <v>0</v>
      </c>
      <c r="N163" s="69">
        <v>0</v>
      </c>
      <c r="O163" s="69">
        <v>0</v>
      </c>
      <c r="P163" s="69">
        <v>0</v>
      </c>
      <c r="Q163" s="69">
        <v>0</v>
      </c>
      <c r="R163" s="69">
        <v>0.23799999999999999</v>
      </c>
      <c r="S163" s="69">
        <v>0</v>
      </c>
      <c r="T163" s="69">
        <v>0</v>
      </c>
      <c r="U163" s="69">
        <v>0</v>
      </c>
      <c r="V163" s="69">
        <v>0.112</v>
      </c>
      <c r="W163" s="71">
        <v>2.3333333000000001E-2</v>
      </c>
      <c r="X163" s="71">
        <v>1.7046341999999999E-2</v>
      </c>
      <c r="Y163" s="69">
        <v>15</v>
      </c>
      <c r="Z163" s="71">
        <v>0.58333333300000001</v>
      </c>
      <c r="AA163" s="71">
        <v>0.42615855200000002</v>
      </c>
    </row>
    <row r="164" spans="1:27">
      <c r="A164" s="72">
        <v>41122</v>
      </c>
      <c r="B164" t="s">
        <v>387</v>
      </c>
      <c r="C164" s="69" t="s">
        <v>434</v>
      </c>
      <c r="D164" s="69" t="s">
        <v>389</v>
      </c>
      <c r="E164" s="69" t="s">
        <v>390</v>
      </c>
      <c r="F164" s="69" t="s">
        <v>394</v>
      </c>
      <c r="G164" s="73" t="str">
        <f t="shared" si="2"/>
        <v>below</v>
      </c>
      <c r="H164" s="69">
        <v>4.5839999999999996</v>
      </c>
      <c r="I164" s="69">
        <v>5.4649999999999999</v>
      </c>
      <c r="J164" s="69">
        <v>0.123</v>
      </c>
      <c r="K164" s="69">
        <v>4.5330000000000004</v>
      </c>
      <c r="L164" s="69">
        <v>2.8540000000000001</v>
      </c>
      <c r="M164" s="69">
        <v>0</v>
      </c>
      <c r="N164" s="69">
        <v>0.19900000000000001</v>
      </c>
      <c r="O164" s="69">
        <v>1.36</v>
      </c>
      <c r="P164" s="69">
        <v>2.6859999999999999</v>
      </c>
      <c r="Q164" s="69">
        <v>1.4319999999999999</v>
      </c>
      <c r="R164" s="69">
        <v>5.65</v>
      </c>
      <c r="S164" s="69">
        <v>0.48799999999999999</v>
      </c>
      <c r="T164" s="69">
        <v>15.657</v>
      </c>
      <c r="U164" s="69">
        <v>0.92</v>
      </c>
      <c r="V164" s="69">
        <v>9.6839999999999993</v>
      </c>
      <c r="W164" s="71">
        <v>3.7090000000000001</v>
      </c>
      <c r="X164" s="71">
        <v>1.1047959730000001</v>
      </c>
      <c r="Y164" s="69">
        <v>15</v>
      </c>
      <c r="Z164" s="71">
        <v>92.724999999999994</v>
      </c>
      <c r="AA164" s="71">
        <v>27.61989934</v>
      </c>
    </row>
    <row r="165" spans="1:27">
      <c r="A165" s="72">
        <v>41122</v>
      </c>
      <c r="B165" t="s">
        <v>387</v>
      </c>
      <c r="C165" s="69" t="s">
        <v>434</v>
      </c>
      <c r="D165" s="69" t="s">
        <v>389</v>
      </c>
      <c r="E165" s="69" t="s">
        <v>390</v>
      </c>
      <c r="F165" s="69" t="s">
        <v>395</v>
      </c>
      <c r="G165" s="73" t="str">
        <f t="shared" si="2"/>
        <v>litter</v>
      </c>
      <c r="H165" s="69">
        <v>23.832999999999998</v>
      </c>
      <c r="I165" s="69">
        <v>10.167999999999999</v>
      </c>
      <c r="J165" s="69">
        <v>0.82499999999999996</v>
      </c>
      <c r="K165" s="69">
        <v>2.0009999999999999</v>
      </c>
      <c r="L165" s="69">
        <v>6.33</v>
      </c>
      <c r="M165" s="69">
        <v>0</v>
      </c>
      <c r="N165" s="69">
        <v>9.4E-2</v>
      </c>
      <c r="O165" s="69">
        <v>4.1550000000000002</v>
      </c>
      <c r="P165" s="69">
        <v>35.951999999999998</v>
      </c>
      <c r="Q165" s="69">
        <v>3.4550000000000001</v>
      </c>
      <c r="R165" s="69">
        <v>19.699000000000002</v>
      </c>
      <c r="S165" s="69">
        <v>2.7909999999999999</v>
      </c>
      <c r="T165" s="69">
        <v>37.677999999999997</v>
      </c>
      <c r="U165" s="69">
        <v>9.9540000000000006</v>
      </c>
      <c r="V165" s="69">
        <v>23.059000000000001</v>
      </c>
      <c r="W165" s="71">
        <v>11.999599999999999</v>
      </c>
      <c r="X165" s="71">
        <v>3.3268928660000001</v>
      </c>
      <c r="Y165" s="69">
        <v>15</v>
      </c>
      <c r="Z165" s="71">
        <v>299.99</v>
      </c>
      <c r="AA165" s="71">
        <v>83.172321650000001</v>
      </c>
    </row>
    <row r="166" spans="1:27">
      <c r="A166" s="72">
        <v>41122</v>
      </c>
      <c r="B166" t="s">
        <v>387</v>
      </c>
      <c r="C166" s="69" t="s">
        <v>434</v>
      </c>
      <c r="D166" s="69" t="s">
        <v>389</v>
      </c>
      <c r="E166" s="69" t="s">
        <v>390</v>
      </c>
      <c r="F166" s="69" t="s">
        <v>396</v>
      </c>
      <c r="G166" s="73" t="str">
        <f t="shared" si="2"/>
        <v>new above</v>
      </c>
      <c r="H166" s="69">
        <v>7.2999999999999995E-2</v>
      </c>
      <c r="I166" s="69">
        <v>0</v>
      </c>
      <c r="J166" s="69">
        <v>0</v>
      </c>
      <c r="K166" s="69">
        <v>0.02</v>
      </c>
      <c r="L166" s="69">
        <v>0</v>
      </c>
      <c r="M166" s="69">
        <v>0</v>
      </c>
      <c r="N166" s="69">
        <v>0</v>
      </c>
      <c r="O166" s="69">
        <v>9.2999999999999999E-2</v>
      </c>
      <c r="P166" s="69">
        <v>0</v>
      </c>
      <c r="Q166" s="69">
        <v>0</v>
      </c>
      <c r="R166" s="69">
        <v>0</v>
      </c>
      <c r="S166" s="69">
        <v>0</v>
      </c>
      <c r="T166" s="69">
        <v>9.6000000000000002E-2</v>
      </c>
      <c r="U166" s="69">
        <v>0</v>
      </c>
      <c r="V166" s="69">
        <v>0.4</v>
      </c>
      <c r="W166" s="71">
        <v>4.5466667000000002E-2</v>
      </c>
      <c r="X166" s="71">
        <v>2.6955494999999999E-2</v>
      </c>
      <c r="Y166" s="69">
        <v>15</v>
      </c>
      <c r="Z166" s="71">
        <v>1.1366666670000001</v>
      </c>
      <c r="AA166" s="71">
        <v>0.67388738400000003</v>
      </c>
    </row>
    <row r="167" spans="1:27">
      <c r="A167" s="72">
        <v>41122</v>
      </c>
      <c r="B167" t="s">
        <v>387</v>
      </c>
      <c r="C167" s="69" t="s">
        <v>434</v>
      </c>
      <c r="D167" s="69" t="s">
        <v>389</v>
      </c>
      <c r="E167" s="69" t="s">
        <v>397</v>
      </c>
      <c r="F167" s="69" t="s">
        <v>391</v>
      </c>
      <c r="G167" s="73" t="str">
        <f t="shared" si="2"/>
        <v>new above</v>
      </c>
      <c r="H167" s="69">
        <v>0.73399999999999999</v>
      </c>
      <c r="I167" s="69">
        <v>0.33100000000000002</v>
      </c>
      <c r="J167" s="69">
        <v>0.11600000000000001</v>
      </c>
      <c r="K167" s="69">
        <v>6.3E-2</v>
      </c>
      <c r="L167" s="69">
        <v>0.14299999999999999</v>
      </c>
      <c r="M167" s="69">
        <v>0.442</v>
      </c>
      <c r="N167" s="69">
        <v>4.5999999999999999E-2</v>
      </c>
      <c r="O167" s="69">
        <v>0</v>
      </c>
      <c r="P167" s="69">
        <v>0.39</v>
      </c>
      <c r="Q167" s="69">
        <v>0.21</v>
      </c>
      <c r="R167" s="69">
        <v>0</v>
      </c>
      <c r="S167" s="69">
        <v>0</v>
      </c>
      <c r="T167" s="69">
        <v>0</v>
      </c>
      <c r="U167" s="69">
        <v>0</v>
      </c>
      <c r="V167" s="69">
        <v>0</v>
      </c>
      <c r="W167" s="71">
        <v>0.16500000000000001</v>
      </c>
      <c r="X167" s="71">
        <v>5.6547325000000002E-2</v>
      </c>
      <c r="Y167" s="69">
        <v>15</v>
      </c>
      <c r="Z167" s="71">
        <v>4.125</v>
      </c>
      <c r="AA167" s="71">
        <v>1.4136831329999999</v>
      </c>
    </row>
    <row r="168" spans="1:27">
      <c r="A168" s="72">
        <v>41122</v>
      </c>
      <c r="B168" t="s">
        <v>387</v>
      </c>
      <c r="C168" s="69" t="s">
        <v>434</v>
      </c>
      <c r="D168" s="69" t="s">
        <v>389</v>
      </c>
      <c r="E168" s="69" t="s">
        <v>397</v>
      </c>
      <c r="F168" s="69" t="s">
        <v>392</v>
      </c>
      <c r="G168" s="73" t="str">
        <f t="shared" si="2"/>
        <v>new above</v>
      </c>
      <c r="H168" s="69">
        <v>0.33</v>
      </c>
      <c r="I168" s="69">
        <v>0.111</v>
      </c>
      <c r="J168" s="69">
        <v>0</v>
      </c>
      <c r="K168" s="69">
        <v>6.3E-2</v>
      </c>
      <c r="L168" s="69">
        <v>0</v>
      </c>
      <c r="M168" s="69">
        <v>0.184</v>
      </c>
      <c r="N168" s="69">
        <v>1.7999999999999999E-2</v>
      </c>
      <c r="O168" s="69">
        <v>0</v>
      </c>
      <c r="P168" s="69">
        <v>6.4000000000000001E-2</v>
      </c>
      <c r="Q168" s="69">
        <v>0.09</v>
      </c>
      <c r="R168" s="69">
        <v>0</v>
      </c>
      <c r="S168" s="69">
        <v>0</v>
      </c>
      <c r="T168" s="69">
        <v>0</v>
      </c>
      <c r="U168" s="69">
        <v>0</v>
      </c>
      <c r="V168" s="69">
        <v>0</v>
      </c>
      <c r="W168" s="71">
        <v>5.7333333E-2</v>
      </c>
      <c r="X168" s="71">
        <v>2.4128558000000001E-2</v>
      </c>
      <c r="Y168" s="69">
        <v>15</v>
      </c>
      <c r="Z168" s="71">
        <v>1.433333333</v>
      </c>
      <c r="AA168" s="71">
        <v>0.60321394500000003</v>
      </c>
    </row>
    <row r="169" spans="1:27">
      <c r="A169" s="72">
        <v>41122</v>
      </c>
      <c r="B169" t="s">
        <v>387</v>
      </c>
      <c r="C169" s="69" t="s">
        <v>434</v>
      </c>
      <c r="D169" s="69" t="s">
        <v>389</v>
      </c>
      <c r="E169" s="69" t="s">
        <v>397</v>
      </c>
      <c r="F169" s="69" t="s">
        <v>393</v>
      </c>
      <c r="G169" s="73" t="str">
        <f t="shared" si="2"/>
        <v>new above</v>
      </c>
      <c r="H169" s="69">
        <v>0</v>
      </c>
      <c r="I169" s="69">
        <v>0</v>
      </c>
      <c r="J169" s="69">
        <v>0</v>
      </c>
      <c r="K169" s="69">
        <v>0</v>
      </c>
      <c r="L169" s="69">
        <v>0</v>
      </c>
      <c r="M169" s="69">
        <v>0</v>
      </c>
      <c r="N169" s="69">
        <v>0</v>
      </c>
      <c r="O169" s="69">
        <v>0</v>
      </c>
      <c r="P169" s="69">
        <v>0.158</v>
      </c>
      <c r="Q169" s="69">
        <v>0</v>
      </c>
      <c r="R169" s="69">
        <v>0</v>
      </c>
      <c r="S169" s="69">
        <v>0</v>
      </c>
      <c r="T169" s="69">
        <v>0</v>
      </c>
      <c r="U169" s="69">
        <v>0</v>
      </c>
      <c r="V169" s="69">
        <v>0</v>
      </c>
      <c r="W169" s="71">
        <v>1.0533333000000001E-2</v>
      </c>
      <c r="X169" s="71">
        <v>1.0533333000000001E-2</v>
      </c>
      <c r="Y169" s="69">
        <v>15</v>
      </c>
      <c r="Z169" s="71">
        <v>0.263333333</v>
      </c>
      <c r="AA169" s="71">
        <v>0.263333333</v>
      </c>
    </row>
    <row r="170" spans="1:27">
      <c r="A170" s="72">
        <v>41122</v>
      </c>
      <c r="B170" t="s">
        <v>387</v>
      </c>
      <c r="C170" s="69" t="s">
        <v>434</v>
      </c>
      <c r="D170" s="69" t="s">
        <v>389</v>
      </c>
      <c r="E170" s="69" t="s">
        <v>397</v>
      </c>
      <c r="F170" s="69" t="s">
        <v>394</v>
      </c>
      <c r="G170" s="73" t="str">
        <f t="shared" si="2"/>
        <v>below</v>
      </c>
      <c r="H170" s="69">
        <v>7.1449999999999996</v>
      </c>
      <c r="I170" s="69">
        <v>0.152</v>
      </c>
      <c r="J170" s="69">
        <v>0.94099999999999995</v>
      </c>
      <c r="K170" s="69">
        <v>0.14399999999999999</v>
      </c>
      <c r="L170" s="69">
        <v>0.309</v>
      </c>
      <c r="M170" s="69">
        <v>3.5430000000000001</v>
      </c>
      <c r="N170" s="69">
        <v>0.22600000000000001</v>
      </c>
      <c r="O170" s="69">
        <v>0</v>
      </c>
      <c r="P170" s="69">
        <v>0.28100000000000003</v>
      </c>
      <c r="Q170" s="69">
        <v>0.86599999999999999</v>
      </c>
      <c r="R170" s="69">
        <v>0</v>
      </c>
      <c r="S170" s="69">
        <v>0</v>
      </c>
      <c r="T170" s="69">
        <v>0</v>
      </c>
      <c r="U170" s="69">
        <v>0</v>
      </c>
      <c r="V170" s="69">
        <v>0</v>
      </c>
      <c r="W170" s="71">
        <v>0.90713333299999999</v>
      </c>
      <c r="X170" s="71">
        <v>0.503158149</v>
      </c>
      <c r="Y170" s="69">
        <v>15</v>
      </c>
      <c r="Z170" s="71">
        <v>22.678333330000001</v>
      </c>
      <c r="AA170" s="71">
        <v>12.578953719999999</v>
      </c>
    </row>
    <row r="171" spans="1:27">
      <c r="A171" s="72">
        <v>41122</v>
      </c>
      <c r="B171" t="s">
        <v>387</v>
      </c>
      <c r="C171" s="69" t="s">
        <v>434</v>
      </c>
      <c r="D171" s="69" t="s">
        <v>389</v>
      </c>
      <c r="E171" s="69" t="s">
        <v>397</v>
      </c>
      <c r="F171" s="69" t="s">
        <v>395</v>
      </c>
      <c r="G171" s="73" t="str">
        <f t="shared" si="2"/>
        <v>litter</v>
      </c>
      <c r="H171" s="69">
        <v>9.734</v>
      </c>
      <c r="I171" s="69">
        <v>0.49</v>
      </c>
      <c r="J171" s="69">
        <v>2.3919999999999999</v>
      </c>
      <c r="K171" s="69">
        <v>0.3</v>
      </c>
      <c r="L171" s="69">
        <v>0.48899999999999999</v>
      </c>
      <c r="M171" s="69">
        <v>2.5139999999999998</v>
      </c>
      <c r="N171" s="69">
        <v>0.16200000000000001</v>
      </c>
      <c r="O171" s="69">
        <v>0</v>
      </c>
      <c r="P171" s="69">
        <v>0.47799999999999998</v>
      </c>
      <c r="Q171" s="69">
        <v>0.81</v>
      </c>
      <c r="R171" s="69">
        <v>0</v>
      </c>
      <c r="S171" s="69">
        <v>0</v>
      </c>
      <c r="T171" s="69">
        <v>0</v>
      </c>
      <c r="U171" s="69">
        <v>0</v>
      </c>
      <c r="V171" s="69">
        <v>0</v>
      </c>
      <c r="W171" s="71">
        <v>1.1579333329999999</v>
      </c>
      <c r="X171" s="71">
        <v>0.64792901199999997</v>
      </c>
      <c r="Y171" s="69">
        <v>15</v>
      </c>
      <c r="Z171" s="71">
        <v>28.948333330000001</v>
      </c>
      <c r="AA171" s="71">
        <v>16.198225300000001</v>
      </c>
    </row>
    <row r="172" spans="1:27">
      <c r="A172" s="72">
        <v>41122</v>
      </c>
      <c r="B172" t="s">
        <v>387</v>
      </c>
      <c r="C172" s="69" t="s">
        <v>434</v>
      </c>
      <c r="D172" s="69" t="s">
        <v>389</v>
      </c>
      <c r="E172" s="69" t="s">
        <v>398</v>
      </c>
      <c r="F172" s="69" t="s">
        <v>391</v>
      </c>
      <c r="G172" s="73" t="str">
        <f t="shared" si="2"/>
        <v>new above</v>
      </c>
      <c r="H172" s="69">
        <v>0</v>
      </c>
      <c r="I172" s="69">
        <v>0</v>
      </c>
      <c r="J172" s="69">
        <v>0</v>
      </c>
      <c r="K172" s="69">
        <v>0</v>
      </c>
      <c r="L172" s="69">
        <v>0</v>
      </c>
      <c r="M172" s="69">
        <v>0</v>
      </c>
      <c r="N172" s="69">
        <v>0</v>
      </c>
      <c r="O172" s="69">
        <v>0</v>
      </c>
      <c r="P172" s="69">
        <v>0</v>
      </c>
      <c r="Q172" s="69">
        <v>0</v>
      </c>
      <c r="R172" s="69">
        <v>0</v>
      </c>
      <c r="S172" s="69">
        <v>0</v>
      </c>
      <c r="T172" s="69">
        <v>3.9E-2</v>
      </c>
      <c r="U172" s="69">
        <v>0</v>
      </c>
      <c r="V172" s="69">
        <v>0</v>
      </c>
      <c r="W172" s="71">
        <v>2.5999999999999999E-3</v>
      </c>
      <c r="X172" s="71">
        <v>2.5999999999999999E-3</v>
      </c>
      <c r="Y172" s="69">
        <v>15</v>
      </c>
      <c r="Z172" s="71">
        <v>6.5000000000000002E-2</v>
      </c>
      <c r="AA172" s="71">
        <v>6.5000000000000002E-2</v>
      </c>
    </row>
    <row r="173" spans="1:27">
      <c r="A173" s="72">
        <v>41122</v>
      </c>
      <c r="B173" t="s">
        <v>387</v>
      </c>
      <c r="C173" s="69" t="s">
        <v>434</v>
      </c>
      <c r="D173" s="69" t="s">
        <v>389</v>
      </c>
      <c r="E173" s="69" t="s">
        <v>398</v>
      </c>
      <c r="F173" s="69" t="s">
        <v>392</v>
      </c>
      <c r="G173" s="73" t="str">
        <f t="shared" si="2"/>
        <v>new above</v>
      </c>
      <c r="H173" s="69">
        <v>0</v>
      </c>
      <c r="I173" s="69">
        <v>0</v>
      </c>
      <c r="J173" s="69">
        <v>0</v>
      </c>
      <c r="K173" s="69">
        <v>0</v>
      </c>
      <c r="L173" s="69">
        <v>0</v>
      </c>
      <c r="M173" s="69">
        <v>0</v>
      </c>
      <c r="N173" s="69">
        <v>0</v>
      </c>
      <c r="O173" s="69">
        <v>0</v>
      </c>
      <c r="P173" s="69">
        <v>0</v>
      </c>
      <c r="Q173" s="69">
        <v>0</v>
      </c>
      <c r="R173" s="69">
        <v>0</v>
      </c>
      <c r="S173" s="69">
        <v>0</v>
      </c>
      <c r="T173" s="69">
        <v>1.6E-2</v>
      </c>
      <c r="U173" s="69">
        <v>0</v>
      </c>
      <c r="V173" s="69">
        <v>0</v>
      </c>
      <c r="W173" s="71">
        <v>1.0666670000000001E-3</v>
      </c>
      <c r="X173" s="71">
        <v>1.0666670000000001E-3</v>
      </c>
      <c r="Y173" s="69">
        <v>15</v>
      </c>
      <c r="Z173" s="71">
        <v>2.6666667000000002E-2</v>
      </c>
      <c r="AA173" s="71">
        <v>2.6666667000000002E-2</v>
      </c>
    </row>
    <row r="174" spans="1:27">
      <c r="A174" s="72">
        <v>41122</v>
      </c>
      <c r="B174" t="s">
        <v>387</v>
      </c>
      <c r="C174" s="69" t="s">
        <v>434</v>
      </c>
      <c r="D174" s="69" t="s">
        <v>389</v>
      </c>
      <c r="E174" s="69" t="s">
        <v>398</v>
      </c>
      <c r="F174" s="69" t="s">
        <v>393</v>
      </c>
      <c r="G174" s="73" t="str">
        <f t="shared" si="2"/>
        <v>new above</v>
      </c>
      <c r="H174" s="69">
        <v>0</v>
      </c>
      <c r="I174" s="69">
        <v>0</v>
      </c>
      <c r="J174" s="69">
        <v>0</v>
      </c>
      <c r="K174" s="69">
        <v>0</v>
      </c>
      <c r="L174" s="69">
        <v>0</v>
      </c>
      <c r="M174" s="69">
        <v>0</v>
      </c>
      <c r="N174" s="69">
        <v>0</v>
      </c>
      <c r="O174" s="69">
        <v>0</v>
      </c>
      <c r="P174" s="69">
        <v>0</v>
      </c>
      <c r="Q174" s="69">
        <v>0</v>
      </c>
      <c r="R174" s="69">
        <v>0</v>
      </c>
      <c r="S174" s="69">
        <v>0</v>
      </c>
      <c r="T174" s="69">
        <v>0</v>
      </c>
      <c r="U174" s="69">
        <v>0</v>
      </c>
      <c r="V174" s="69">
        <v>0</v>
      </c>
      <c r="W174" s="71">
        <v>0</v>
      </c>
      <c r="X174" s="71">
        <v>0</v>
      </c>
      <c r="Y174" s="69">
        <v>15</v>
      </c>
      <c r="Z174" s="71">
        <v>0</v>
      </c>
      <c r="AA174" s="71">
        <v>0</v>
      </c>
    </row>
    <row r="175" spans="1:27">
      <c r="A175" s="72">
        <v>41122</v>
      </c>
      <c r="B175" t="s">
        <v>387</v>
      </c>
      <c r="C175" s="69" t="s">
        <v>434</v>
      </c>
      <c r="D175" s="69" t="s">
        <v>389</v>
      </c>
      <c r="E175" s="69" t="s">
        <v>398</v>
      </c>
      <c r="F175" s="69" t="s">
        <v>394</v>
      </c>
      <c r="G175" s="73" t="str">
        <f t="shared" si="2"/>
        <v>below</v>
      </c>
      <c r="H175" s="69">
        <v>0</v>
      </c>
      <c r="I175" s="69">
        <v>0</v>
      </c>
      <c r="J175" s="69">
        <v>0</v>
      </c>
      <c r="K175" s="69">
        <v>0</v>
      </c>
      <c r="L175" s="69">
        <v>0</v>
      </c>
      <c r="M175" s="69">
        <v>0</v>
      </c>
      <c r="N175" s="69">
        <v>0</v>
      </c>
      <c r="O175" s="69">
        <v>0</v>
      </c>
      <c r="P175" s="69">
        <v>0</v>
      </c>
      <c r="Q175" s="69">
        <v>0</v>
      </c>
      <c r="R175" s="69">
        <v>0.12</v>
      </c>
      <c r="S175" s="69">
        <v>0</v>
      </c>
      <c r="T175" s="69">
        <v>7.3999999999999996E-2</v>
      </c>
      <c r="U175" s="69">
        <v>0</v>
      </c>
      <c r="V175" s="69">
        <v>0</v>
      </c>
      <c r="W175" s="71">
        <v>1.2933333E-2</v>
      </c>
      <c r="X175" s="71">
        <v>9.0939369999999999E-3</v>
      </c>
      <c r="Y175" s="69">
        <v>15</v>
      </c>
      <c r="Z175" s="71">
        <v>0.323333333</v>
      </c>
      <c r="AA175" s="71">
        <v>0.227348415</v>
      </c>
    </row>
    <row r="176" spans="1:27">
      <c r="A176" s="72">
        <v>41122</v>
      </c>
      <c r="B176" t="s">
        <v>387</v>
      </c>
      <c r="C176" s="69" t="s">
        <v>434</v>
      </c>
      <c r="D176" s="69" t="s">
        <v>389</v>
      </c>
      <c r="E176" s="69" t="s">
        <v>398</v>
      </c>
      <c r="F176" s="69" t="s">
        <v>395</v>
      </c>
      <c r="G176" s="73" t="str">
        <f t="shared" si="2"/>
        <v>litter</v>
      </c>
      <c r="H176" s="69">
        <v>0</v>
      </c>
      <c r="I176" s="69">
        <v>0</v>
      </c>
      <c r="J176" s="69">
        <v>0</v>
      </c>
      <c r="K176" s="69">
        <v>0</v>
      </c>
      <c r="L176" s="69">
        <v>0</v>
      </c>
      <c r="M176" s="69">
        <v>0</v>
      </c>
      <c r="N176" s="69">
        <v>0</v>
      </c>
      <c r="O176" s="69">
        <v>0</v>
      </c>
      <c r="P176" s="69">
        <v>0</v>
      </c>
      <c r="Q176" s="69">
        <v>0</v>
      </c>
      <c r="R176" s="69">
        <v>0.4</v>
      </c>
      <c r="S176" s="69">
        <v>0</v>
      </c>
      <c r="T176" s="69">
        <v>0.23899999999999999</v>
      </c>
      <c r="U176" s="69">
        <v>0</v>
      </c>
      <c r="V176" s="69">
        <v>0</v>
      </c>
      <c r="W176" s="71">
        <v>4.2599999999999999E-2</v>
      </c>
      <c r="X176" s="71">
        <v>3.0071311999999999E-2</v>
      </c>
      <c r="Y176" s="69">
        <v>15</v>
      </c>
      <c r="Z176" s="71">
        <v>1.0649999999999999</v>
      </c>
      <c r="AA176" s="71">
        <v>0.75178280200000003</v>
      </c>
    </row>
    <row r="177" spans="1:27">
      <c r="A177" s="72">
        <v>41122</v>
      </c>
      <c r="B177" t="s">
        <v>387</v>
      </c>
      <c r="C177" s="69" t="s">
        <v>434</v>
      </c>
      <c r="D177" s="69" t="s">
        <v>389</v>
      </c>
      <c r="E177" s="69" t="s">
        <v>435</v>
      </c>
      <c r="F177" s="69" t="s">
        <v>391</v>
      </c>
      <c r="G177" s="73" t="str">
        <f t="shared" si="2"/>
        <v>new above</v>
      </c>
      <c r="H177" s="69">
        <v>0.251</v>
      </c>
      <c r="I177" s="69">
        <v>0</v>
      </c>
      <c r="J177" s="69">
        <v>0.45100000000000001</v>
      </c>
      <c r="K177" s="69">
        <v>0</v>
      </c>
      <c r="L177" s="69">
        <v>0</v>
      </c>
      <c r="M177" s="69">
        <v>0</v>
      </c>
      <c r="N177" s="69">
        <v>0</v>
      </c>
      <c r="O177" s="69">
        <v>0</v>
      </c>
      <c r="P177" s="69">
        <v>0</v>
      </c>
      <c r="Q177" s="69">
        <v>0</v>
      </c>
      <c r="R177" s="69">
        <v>0</v>
      </c>
      <c r="S177" s="69">
        <v>0</v>
      </c>
      <c r="T177" s="69">
        <v>0</v>
      </c>
      <c r="U177" s="69">
        <v>0</v>
      </c>
      <c r="V177" s="69">
        <v>0</v>
      </c>
      <c r="W177" s="71">
        <v>4.6800000000000001E-2</v>
      </c>
      <c r="X177" s="71">
        <v>3.3348691999999999E-2</v>
      </c>
      <c r="Y177" s="69">
        <v>15</v>
      </c>
      <c r="Z177" s="71">
        <v>1.17</v>
      </c>
      <c r="AA177" s="71">
        <v>0.833717292</v>
      </c>
    </row>
    <row r="178" spans="1:27">
      <c r="A178" s="72">
        <v>41122</v>
      </c>
      <c r="B178" t="s">
        <v>387</v>
      </c>
      <c r="C178" s="69" t="s">
        <v>434</v>
      </c>
      <c r="D178" s="69" t="s">
        <v>389</v>
      </c>
      <c r="E178" s="69" t="s">
        <v>435</v>
      </c>
      <c r="F178" s="69" t="s">
        <v>392</v>
      </c>
      <c r="G178" s="73" t="str">
        <f t="shared" si="2"/>
        <v>new above</v>
      </c>
      <c r="H178" s="69">
        <v>0</v>
      </c>
      <c r="I178" s="69">
        <v>0</v>
      </c>
      <c r="J178" s="69">
        <v>0</v>
      </c>
      <c r="K178" s="69">
        <v>0</v>
      </c>
      <c r="L178" s="69">
        <v>0</v>
      </c>
      <c r="M178" s="69">
        <v>0</v>
      </c>
      <c r="N178" s="69">
        <v>0</v>
      </c>
      <c r="O178" s="69">
        <v>0</v>
      </c>
      <c r="P178" s="69">
        <v>0</v>
      </c>
      <c r="Q178" s="69">
        <v>0</v>
      </c>
      <c r="R178" s="69">
        <v>0</v>
      </c>
      <c r="S178" s="69">
        <v>0</v>
      </c>
      <c r="T178" s="69">
        <v>0</v>
      </c>
      <c r="U178" s="69">
        <v>0</v>
      </c>
      <c r="V178" s="69">
        <v>0</v>
      </c>
      <c r="W178" s="71">
        <v>0</v>
      </c>
      <c r="X178" s="71">
        <v>0</v>
      </c>
      <c r="Y178" s="69">
        <v>15</v>
      </c>
      <c r="Z178" s="71">
        <v>0</v>
      </c>
      <c r="AA178" s="71">
        <v>0</v>
      </c>
    </row>
    <row r="179" spans="1:27">
      <c r="A179" s="72">
        <v>41122</v>
      </c>
      <c r="B179" t="s">
        <v>387</v>
      </c>
      <c r="C179" s="69" t="s">
        <v>434</v>
      </c>
      <c r="D179" s="69" t="s">
        <v>389</v>
      </c>
      <c r="E179" s="69" t="s">
        <v>435</v>
      </c>
      <c r="F179" s="69" t="s">
        <v>393</v>
      </c>
      <c r="G179" s="73" t="str">
        <f t="shared" si="2"/>
        <v>new above</v>
      </c>
      <c r="H179" s="69">
        <v>0</v>
      </c>
      <c r="I179" s="69">
        <v>0</v>
      </c>
      <c r="J179" s="69">
        <v>0</v>
      </c>
      <c r="K179" s="69">
        <v>0</v>
      </c>
      <c r="L179" s="69">
        <v>0</v>
      </c>
      <c r="M179" s="69">
        <v>0</v>
      </c>
      <c r="N179" s="69">
        <v>0</v>
      </c>
      <c r="O179" s="69">
        <v>0</v>
      </c>
      <c r="P179" s="69">
        <v>0</v>
      </c>
      <c r="Q179" s="69">
        <v>0</v>
      </c>
      <c r="R179" s="69">
        <v>0</v>
      </c>
      <c r="S179" s="69">
        <v>0</v>
      </c>
      <c r="T179" s="69">
        <v>0</v>
      </c>
      <c r="U179" s="69">
        <v>0</v>
      </c>
      <c r="V179" s="69">
        <v>0</v>
      </c>
      <c r="W179" s="71">
        <v>0</v>
      </c>
      <c r="X179" s="71">
        <v>0</v>
      </c>
      <c r="Y179" s="69">
        <v>15</v>
      </c>
      <c r="Z179" s="71">
        <v>0</v>
      </c>
      <c r="AA179" s="71">
        <v>0</v>
      </c>
    </row>
    <row r="180" spans="1:27">
      <c r="A180" s="72">
        <v>41122</v>
      </c>
      <c r="B180" t="s">
        <v>387</v>
      </c>
      <c r="C180" s="69" t="s">
        <v>434</v>
      </c>
      <c r="D180" s="69" t="s">
        <v>389</v>
      </c>
      <c r="E180" s="69" t="s">
        <v>435</v>
      </c>
      <c r="F180" s="69" t="s">
        <v>394</v>
      </c>
      <c r="G180" s="73" t="str">
        <f t="shared" si="2"/>
        <v>below</v>
      </c>
      <c r="H180" s="69">
        <v>0.29199999999999998</v>
      </c>
      <c r="I180" s="69">
        <v>0</v>
      </c>
      <c r="J180" s="69">
        <v>0.13600000000000001</v>
      </c>
      <c r="K180" s="69">
        <v>0</v>
      </c>
      <c r="L180" s="69">
        <v>0</v>
      </c>
      <c r="M180" s="69">
        <v>0</v>
      </c>
      <c r="N180" s="69">
        <v>0</v>
      </c>
      <c r="O180" s="69">
        <v>0</v>
      </c>
      <c r="P180" s="69">
        <v>0</v>
      </c>
      <c r="Q180" s="69">
        <v>0</v>
      </c>
      <c r="R180" s="69">
        <v>0</v>
      </c>
      <c r="S180" s="69">
        <v>0</v>
      </c>
      <c r="T180" s="69">
        <v>0</v>
      </c>
      <c r="U180" s="69">
        <v>0</v>
      </c>
      <c r="V180" s="69">
        <v>0</v>
      </c>
      <c r="W180" s="71">
        <v>2.8533333000000001E-2</v>
      </c>
      <c r="X180" s="71">
        <v>2.0879214E-2</v>
      </c>
      <c r="Y180" s="69">
        <v>15</v>
      </c>
      <c r="Z180" s="71">
        <v>0.71333333300000001</v>
      </c>
      <c r="AA180" s="71">
        <v>0.52198035600000003</v>
      </c>
    </row>
    <row r="181" spans="1:27">
      <c r="A181" s="72">
        <v>41122</v>
      </c>
      <c r="B181" t="s">
        <v>387</v>
      </c>
      <c r="C181" s="69" t="s">
        <v>434</v>
      </c>
      <c r="D181" s="69" t="s">
        <v>389</v>
      </c>
      <c r="E181" s="69" t="s">
        <v>435</v>
      </c>
      <c r="F181" s="69" t="s">
        <v>395</v>
      </c>
      <c r="G181" s="73" t="str">
        <f t="shared" si="2"/>
        <v>litter</v>
      </c>
      <c r="H181" s="69">
        <v>0.60299999999999998</v>
      </c>
      <c r="I181" s="69">
        <v>0</v>
      </c>
      <c r="J181" s="69">
        <v>0</v>
      </c>
      <c r="K181" s="69">
        <v>0</v>
      </c>
      <c r="L181" s="69">
        <v>0</v>
      </c>
      <c r="M181" s="69">
        <v>0</v>
      </c>
      <c r="N181" s="69">
        <v>0</v>
      </c>
      <c r="O181" s="69">
        <v>0</v>
      </c>
      <c r="P181" s="69">
        <v>0</v>
      </c>
      <c r="Q181" s="69">
        <v>0</v>
      </c>
      <c r="R181" s="69">
        <v>0</v>
      </c>
      <c r="S181" s="69">
        <v>0</v>
      </c>
      <c r="T181" s="69">
        <v>0</v>
      </c>
      <c r="U181" s="69">
        <v>0</v>
      </c>
      <c r="V181" s="69">
        <v>0</v>
      </c>
      <c r="W181" s="71">
        <v>4.02E-2</v>
      </c>
      <c r="X181" s="71">
        <v>4.02E-2</v>
      </c>
      <c r="Y181" s="69">
        <v>15</v>
      </c>
      <c r="Z181" s="71">
        <v>1.0049999999999999</v>
      </c>
      <c r="AA181" s="71">
        <v>1.0049999999999999</v>
      </c>
    </row>
    <row r="182" spans="1:27">
      <c r="A182" s="72">
        <v>41122</v>
      </c>
      <c r="B182" t="s">
        <v>387</v>
      </c>
      <c r="C182" s="69" t="s">
        <v>434</v>
      </c>
      <c r="D182" s="69" t="s">
        <v>389</v>
      </c>
      <c r="E182" s="69" t="s">
        <v>433</v>
      </c>
      <c r="F182" s="69" t="s">
        <v>391</v>
      </c>
      <c r="G182" s="73" t="str">
        <f t="shared" si="2"/>
        <v>new above</v>
      </c>
      <c r="H182" s="69">
        <v>0</v>
      </c>
      <c r="I182" s="69">
        <v>0</v>
      </c>
      <c r="J182" s="69">
        <v>0</v>
      </c>
      <c r="K182" s="69">
        <v>0</v>
      </c>
      <c r="L182" s="69">
        <v>0</v>
      </c>
      <c r="M182" s="69">
        <v>0</v>
      </c>
      <c r="N182" s="69">
        <v>0</v>
      </c>
      <c r="O182" s="69">
        <v>0</v>
      </c>
      <c r="P182" s="69">
        <v>0</v>
      </c>
      <c r="Q182" s="69">
        <v>0</v>
      </c>
      <c r="R182" s="69">
        <v>0</v>
      </c>
      <c r="S182" s="69">
        <v>0</v>
      </c>
      <c r="T182" s="69">
        <v>0</v>
      </c>
      <c r="U182" s="69">
        <v>0.377</v>
      </c>
      <c r="V182" s="69">
        <v>0</v>
      </c>
      <c r="W182" s="71">
        <v>2.5133333000000001E-2</v>
      </c>
      <c r="X182" s="71">
        <v>2.5133333000000001E-2</v>
      </c>
      <c r="Y182" s="69">
        <v>15</v>
      </c>
      <c r="Z182" s="71">
        <v>0.62833333300000005</v>
      </c>
      <c r="AA182" s="71">
        <v>0.62833333300000005</v>
      </c>
    </row>
    <row r="183" spans="1:27">
      <c r="A183" s="72">
        <v>41122</v>
      </c>
      <c r="B183" t="s">
        <v>387</v>
      </c>
      <c r="C183" s="69" t="s">
        <v>434</v>
      </c>
      <c r="D183" s="69" t="s">
        <v>389</v>
      </c>
      <c r="E183" s="69" t="s">
        <v>433</v>
      </c>
      <c r="F183" s="69" t="s">
        <v>392</v>
      </c>
      <c r="G183" s="73" t="str">
        <f t="shared" si="2"/>
        <v>new above</v>
      </c>
      <c r="H183" s="69">
        <v>0</v>
      </c>
      <c r="I183" s="69">
        <v>0</v>
      </c>
      <c r="J183" s="69">
        <v>0</v>
      </c>
      <c r="K183" s="69">
        <v>0</v>
      </c>
      <c r="L183" s="69">
        <v>0</v>
      </c>
      <c r="M183" s="69">
        <v>0</v>
      </c>
      <c r="N183" s="69">
        <v>0</v>
      </c>
      <c r="O183" s="69">
        <v>0</v>
      </c>
      <c r="P183" s="69">
        <v>0</v>
      </c>
      <c r="Q183" s="69">
        <v>0</v>
      </c>
      <c r="R183" s="69">
        <v>0</v>
      </c>
      <c r="S183" s="69">
        <v>0</v>
      </c>
      <c r="T183" s="69">
        <v>0</v>
      </c>
      <c r="U183" s="69">
        <v>4.5999999999999999E-2</v>
      </c>
      <c r="V183" s="69">
        <v>0</v>
      </c>
      <c r="W183" s="71">
        <v>3.0666669999999999E-3</v>
      </c>
      <c r="X183" s="71">
        <v>3.0666669999999999E-3</v>
      </c>
      <c r="Y183" s="69">
        <v>15</v>
      </c>
      <c r="Z183" s="71">
        <v>7.6666666999999994E-2</v>
      </c>
      <c r="AA183" s="71">
        <v>7.6666666999999994E-2</v>
      </c>
    </row>
    <row r="184" spans="1:27">
      <c r="A184" s="72">
        <v>41122</v>
      </c>
      <c r="B184" t="s">
        <v>387</v>
      </c>
      <c r="C184" s="69" t="s">
        <v>434</v>
      </c>
      <c r="D184" s="69" t="s">
        <v>389</v>
      </c>
      <c r="E184" s="69" t="s">
        <v>433</v>
      </c>
      <c r="F184" s="69" t="s">
        <v>393</v>
      </c>
      <c r="G184" s="73" t="str">
        <f t="shared" si="2"/>
        <v>new above</v>
      </c>
      <c r="H184" s="69">
        <v>0</v>
      </c>
      <c r="I184" s="69">
        <v>0</v>
      </c>
      <c r="J184" s="69">
        <v>0</v>
      </c>
      <c r="K184" s="69">
        <v>0</v>
      </c>
      <c r="L184" s="69">
        <v>0</v>
      </c>
      <c r="M184" s="69">
        <v>0</v>
      </c>
      <c r="N184" s="69">
        <v>0</v>
      </c>
      <c r="O184" s="69">
        <v>0</v>
      </c>
      <c r="P184" s="69">
        <v>0</v>
      </c>
      <c r="Q184" s="69">
        <v>0</v>
      </c>
      <c r="R184" s="69">
        <v>0</v>
      </c>
      <c r="S184" s="69">
        <v>0</v>
      </c>
      <c r="T184" s="69">
        <v>0</v>
      </c>
      <c r="U184" s="69">
        <v>0</v>
      </c>
      <c r="V184" s="69">
        <v>0</v>
      </c>
      <c r="W184" s="71">
        <v>0</v>
      </c>
      <c r="X184" s="71">
        <v>0</v>
      </c>
      <c r="Y184" s="69">
        <v>15</v>
      </c>
      <c r="Z184" s="71">
        <v>0</v>
      </c>
      <c r="AA184" s="71">
        <v>0</v>
      </c>
    </row>
    <row r="185" spans="1:27">
      <c r="A185" s="72">
        <v>41122</v>
      </c>
      <c r="B185" t="s">
        <v>387</v>
      </c>
      <c r="C185" s="69" t="s">
        <v>434</v>
      </c>
      <c r="D185" s="69" t="s">
        <v>389</v>
      </c>
      <c r="E185" s="69" t="s">
        <v>433</v>
      </c>
      <c r="F185" s="69" t="s">
        <v>394</v>
      </c>
      <c r="G185" s="73" t="str">
        <f t="shared" si="2"/>
        <v>below</v>
      </c>
      <c r="H185" s="69">
        <v>0</v>
      </c>
      <c r="I185" s="69">
        <v>0</v>
      </c>
      <c r="J185" s="69">
        <v>0</v>
      </c>
      <c r="K185" s="69">
        <v>0</v>
      </c>
      <c r="L185" s="69">
        <v>0</v>
      </c>
      <c r="M185" s="69">
        <v>0</v>
      </c>
      <c r="N185" s="69">
        <v>0</v>
      </c>
      <c r="O185" s="69">
        <v>0</v>
      </c>
      <c r="P185" s="69">
        <v>0</v>
      </c>
      <c r="Q185" s="69">
        <v>0</v>
      </c>
      <c r="R185" s="69">
        <v>0</v>
      </c>
      <c r="S185" s="69">
        <v>0</v>
      </c>
      <c r="T185" s="69">
        <v>0</v>
      </c>
      <c r="U185" s="69">
        <v>0.49199999999999999</v>
      </c>
      <c r="V185" s="69">
        <v>0</v>
      </c>
      <c r="W185" s="71">
        <v>3.2800000000000003E-2</v>
      </c>
      <c r="X185" s="71">
        <v>3.2800000000000003E-2</v>
      </c>
      <c r="Y185" s="69">
        <v>15</v>
      </c>
      <c r="Z185" s="71">
        <v>0.82</v>
      </c>
      <c r="AA185" s="71">
        <v>0.82</v>
      </c>
    </row>
    <row r="186" spans="1:27">
      <c r="A186" s="72">
        <v>41122</v>
      </c>
      <c r="B186" t="s">
        <v>387</v>
      </c>
      <c r="C186" s="69" t="s">
        <v>434</v>
      </c>
      <c r="D186" s="69" t="s">
        <v>389</v>
      </c>
      <c r="E186" s="69" t="s">
        <v>433</v>
      </c>
      <c r="F186" s="69" t="s">
        <v>395</v>
      </c>
      <c r="G186" s="73" t="str">
        <f t="shared" si="2"/>
        <v>litter</v>
      </c>
      <c r="H186" s="69">
        <v>0</v>
      </c>
      <c r="I186" s="69">
        <v>0</v>
      </c>
      <c r="J186" s="69">
        <v>0</v>
      </c>
      <c r="K186" s="69">
        <v>0</v>
      </c>
      <c r="L186" s="69">
        <v>0</v>
      </c>
      <c r="M186" s="69">
        <v>0</v>
      </c>
      <c r="N186" s="69">
        <v>0</v>
      </c>
      <c r="O186" s="69">
        <v>0</v>
      </c>
      <c r="P186" s="69">
        <v>0</v>
      </c>
      <c r="Q186" s="69">
        <v>0</v>
      </c>
      <c r="R186" s="69">
        <v>0</v>
      </c>
      <c r="S186" s="69">
        <v>0</v>
      </c>
      <c r="T186" s="69">
        <v>0</v>
      </c>
      <c r="U186" s="69">
        <v>1.79</v>
      </c>
      <c r="V186" s="69">
        <v>0</v>
      </c>
      <c r="W186" s="71">
        <v>0.119333333</v>
      </c>
      <c r="X186" s="71">
        <v>0.119333333</v>
      </c>
      <c r="Y186" s="69">
        <v>15</v>
      </c>
      <c r="Z186" s="71">
        <v>2.983333333</v>
      </c>
      <c r="AA186" s="71">
        <v>2.983333333</v>
      </c>
    </row>
    <row r="187" spans="1:27">
      <c r="A187" s="72">
        <v>41122</v>
      </c>
      <c r="B187" t="s">
        <v>387</v>
      </c>
      <c r="C187" s="69" t="s">
        <v>434</v>
      </c>
      <c r="D187" s="69" t="s">
        <v>400</v>
      </c>
      <c r="E187" s="69" t="s">
        <v>401</v>
      </c>
      <c r="F187" s="69" t="s">
        <v>402</v>
      </c>
      <c r="G187" s="73" t="str">
        <f t="shared" si="2"/>
        <v>new above</v>
      </c>
      <c r="H187" s="69">
        <v>0.66300000000000003</v>
      </c>
      <c r="I187" s="69">
        <v>0</v>
      </c>
      <c r="J187" s="69">
        <v>0</v>
      </c>
      <c r="K187" s="69">
        <v>0</v>
      </c>
      <c r="L187" s="69">
        <v>0.501</v>
      </c>
      <c r="M187" s="69">
        <v>0.27500000000000002</v>
      </c>
      <c r="N187" s="69">
        <v>0.24199999999999999</v>
      </c>
      <c r="O187" s="69">
        <v>1.6180000000000001</v>
      </c>
      <c r="P187" s="69">
        <v>0.20599999999999999</v>
      </c>
      <c r="Q187" s="69">
        <v>0.28799999999999998</v>
      </c>
      <c r="R187" s="69">
        <v>1.4830000000000001</v>
      </c>
      <c r="S187" s="69">
        <v>0.61399999999999999</v>
      </c>
      <c r="T187" s="69">
        <v>0.32300000000000001</v>
      </c>
      <c r="U187" s="69">
        <v>0.71399999999999997</v>
      </c>
      <c r="V187" s="69">
        <v>0.56200000000000006</v>
      </c>
      <c r="W187" s="71">
        <v>0.499266667</v>
      </c>
      <c r="X187" s="71">
        <v>0.12602548699999999</v>
      </c>
      <c r="Y187" s="69">
        <v>15</v>
      </c>
      <c r="Z187" s="71">
        <v>12.481666669999999</v>
      </c>
      <c r="AA187" s="71">
        <v>3.1506371870000001</v>
      </c>
    </row>
    <row r="188" spans="1:27">
      <c r="A188" s="72">
        <v>41122</v>
      </c>
      <c r="B188" t="s">
        <v>387</v>
      </c>
      <c r="C188" s="69" t="s">
        <v>434</v>
      </c>
      <c r="D188" s="69" t="s">
        <v>400</v>
      </c>
      <c r="E188" s="69" t="s">
        <v>401</v>
      </c>
      <c r="F188" s="69" t="s">
        <v>403</v>
      </c>
      <c r="G188" s="73" t="str">
        <f t="shared" si="2"/>
        <v>new above</v>
      </c>
      <c r="H188" s="69">
        <v>0.247</v>
      </c>
      <c r="I188" s="69">
        <v>0</v>
      </c>
      <c r="J188" s="69">
        <v>0</v>
      </c>
      <c r="K188" s="69">
        <v>0</v>
      </c>
      <c r="L188" s="69">
        <v>8.4000000000000005E-2</v>
      </c>
      <c r="M188" s="69">
        <v>5.1999999999999998E-2</v>
      </c>
      <c r="N188" s="69">
        <v>0.11</v>
      </c>
      <c r="O188" s="69">
        <v>0.47199999999999998</v>
      </c>
      <c r="P188" s="69">
        <v>8.2000000000000003E-2</v>
      </c>
      <c r="Q188" s="69">
        <v>0.125</v>
      </c>
      <c r="R188" s="69">
        <v>0.29899999999999999</v>
      </c>
      <c r="S188" s="69">
        <v>0.26100000000000001</v>
      </c>
      <c r="T188" s="69">
        <v>7.3999999999999996E-2</v>
      </c>
      <c r="U188" s="69">
        <v>0.113</v>
      </c>
      <c r="V188" s="69">
        <v>0.42899999999999999</v>
      </c>
      <c r="W188" s="71">
        <v>0.156533333</v>
      </c>
      <c r="X188" s="71">
        <v>3.9052452000000001E-2</v>
      </c>
      <c r="Y188" s="69">
        <v>15</v>
      </c>
      <c r="Z188" s="71">
        <v>3.9133333330000002</v>
      </c>
      <c r="AA188" s="71">
        <v>0.976311288</v>
      </c>
    </row>
    <row r="189" spans="1:27">
      <c r="A189" s="72">
        <v>41122</v>
      </c>
      <c r="B189" t="s">
        <v>387</v>
      </c>
      <c r="C189" s="69" t="s">
        <v>434</v>
      </c>
      <c r="D189" s="69" t="s">
        <v>400</v>
      </c>
      <c r="E189" s="69" t="s">
        <v>401</v>
      </c>
      <c r="F189" s="69" t="s">
        <v>404</v>
      </c>
      <c r="G189" s="73" t="str">
        <f t="shared" si="2"/>
        <v>old above</v>
      </c>
      <c r="H189" s="69">
        <v>0.16400000000000001</v>
      </c>
      <c r="I189" s="69">
        <v>0</v>
      </c>
      <c r="J189" s="69">
        <v>0</v>
      </c>
      <c r="K189" s="69">
        <v>0</v>
      </c>
      <c r="L189" s="69">
        <v>1.4670000000000001</v>
      </c>
      <c r="M189" s="69">
        <v>5.4219999999999997</v>
      </c>
      <c r="N189" s="69">
        <v>1.5780000000000001</v>
      </c>
      <c r="O189" s="69">
        <v>5.0819999999999999</v>
      </c>
      <c r="P189" s="69">
        <v>9.4E-2</v>
      </c>
      <c r="Q189" s="69">
        <v>0.28799999999999998</v>
      </c>
      <c r="R189" s="69">
        <v>7.5510000000000002</v>
      </c>
      <c r="S189" s="69">
        <v>0.78900000000000003</v>
      </c>
      <c r="T189" s="69">
        <v>2.9249999999999998</v>
      </c>
      <c r="U189" s="69">
        <v>2.895</v>
      </c>
      <c r="V189" s="69">
        <v>5.5590000000000002</v>
      </c>
      <c r="W189" s="71">
        <v>2.254266667</v>
      </c>
      <c r="X189" s="71">
        <v>0.65188056500000002</v>
      </c>
      <c r="Y189" s="69">
        <v>15</v>
      </c>
      <c r="Z189" s="71">
        <v>56.356666670000003</v>
      </c>
      <c r="AA189" s="71">
        <v>16.297014130000001</v>
      </c>
    </row>
    <row r="190" spans="1:27">
      <c r="A190" s="72">
        <v>41122</v>
      </c>
      <c r="B190" t="s">
        <v>387</v>
      </c>
      <c r="C190" s="69" t="s">
        <v>434</v>
      </c>
      <c r="D190" s="69" t="s">
        <v>400</v>
      </c>
      <c r="E190" s="69" t="s">
        <v>401</v>
      </c>
      <c r="F190" s="69" t="s">
        <v>405</v>
      </c>
      <c r="G190" s="73" t="str">
        <f t="shared" si="2"/>
        <v>new above</v>
      </c>
      <c r="H190" s="69">
        <v>0</v>
      </c>
      <c r="I190" s="69">
        <v>0</v>
      </c>
      <c r="J190" s="69">
        <v>0</v>
      </c>
      <c r="K190" s="69">
        <v>0</v>
      </c>
      <c r="L190" s="69">
        <v>0</v>
      </c>
      <c r="M190" s="69">
        <v>0</v>
      </c>
      <c r="N190" s="69">
        <v>0</v>
      </c>
      <c r="O190" s="69">
        <v>0.78200000000000003</v>
      </c>
      <c r="P190" s="69">
        <v>0</v>
      </c>
      <c r="Q190" s="69">
        <v>0</v>
      </c>
      <c r="R190" s="69">
        <v>1.2999999999999999E-2</v>
      </c>
      <c r="S190" s="69">
        <v>4.2999999999999997E-2</v>
      </c>
      <c r="T190" s="69">
        <v>0</v>
      </c>
      <c r="U190" s="69">
        <v>0</v>
      </c>
      <c r="V190" s="69">
        <v>0</v>
      </c>
      <c r="W190" s="71">
        <v>5.5866667000000002E-2</v>
      </c>
      <c r="X190" s="71">
        <v>5.1948954999999998E-2</v>
      </c>
      <c r="Y190" s="69">
        <v>15</v>
      </c>
      <c r="Z190" s="71">
        <v>1.3966666670000001</v>
      </c>
      <c r="AA190" s="71">
        <v>1.298723885</v>
      </c>
    </row>
    <row r="191" spans="1:27">
      <c r="A191" s="72">
        <v>41122</v>
      </c>
      <c r="B191" t="s">
        <v>387</v>
      </c>
      <c r="C191" s="69" t="s">
        <v>434</v>
      </c>
      <c r="D191" s="69" t="s">
        <v>400</v>
      </c>
      <c r="E191" s="69" t="s">
        <v>401</v>
      </c>
      <c r="F191" s="69" t="s">
        <v>406</v>
      </c>
      <c r="G191" s="73" t="str">
        <f t="shared" si="2"/>
        <v>below</v>
      </c>
      <c r="H191" s="69">
        <v>5.38</v>
      </c>
      <c r="I191" s="69">
        <v>0</v>
      </c>
      <c r="J191" s="69">
        <v>0</v>
      </c>
      <c r="K191" s="69">
        <v>0</v>
      </c>
      <c r="L191" s="69">
        <v>5.2119999999999997</v>
      </c>
      <c r="M191" s="69">
        <v>8.6709999999999994</v>
      </c>
      <c r="N191" s="69">
        <v>5.7370000000000001</v>
      </c>
      <c r="O191" s="69">
        <v>7.0570000000000004</v>
      </c>
      <c r="P191" s="69">
        <v>0</v>
      </c>
      <c r="Q191" s="69">
        <v>3.242</v>
      </c>
      <c r="R191" s="69">
        <v>1.367</v>
      </c>
      <c r="S191" s="69">
        <v>0</v>
      </c>
      <c r="T191" s="69">
        <v>10.952</v>
      </c>
      <c r="U191" s="69">
        <v>22.670999999999999</v>
      </c>
      <c r="V191" s="69">
        <v>6.54</v>
      </c>
      <c r="W191" s="71">
        <v>5.1219333330000003</v>
      </c>
      <c r="X191" s="71">
        <v>1.557727871</v>
      </c>
      <c r="Y191" s="69">
        <v>15</v>
      </c>
      <c r="Z191" s="71">
        <v>128.0483333</v>
      </c>
      <c r="AA191" s="71">
        <v>38.943196759999999</v>
      </c>
    </row>
    <row r="192" spans="1:27">
      <c r="A192" s="72">
        <v>41122</v>
      </c>
      <c r="B192" t="s">
        <v>387</v>
      </c>
      <c r="C192" s="69" t="s">
        <v>434</v>
      </c>
      <c r="D192" s="69" t="s">
        <v>400</v>
      </c>
      <c r="E192" s="69" t="s">
        <v>407</v>
      </c>
      <c r="F192" s="69" t="s">
        <v>402</v>
      </c>
      <c r="G192" s="73" t="str">
        <f t="shared" si="2"/>
        <v>new above</v>
      </c>
      <c r="H192" s="69">
        <v>0</v>
      </c>
      <c r="I192" s="69">
        <v>0</v>
      </c>
      <c r="J192" s="69">
        <v>0</v>
      </c>
      <c r="K192" s="69">
        <v>0</v>
      </c>
      <c r="L192" s="69">
        <v>0</v>
      </c>
      <c r="M192" s="69">
        <v>0.11700000000000001</v>
      </c>
      <c r="N192" s="69">
        <v>9.8000000000000004E-2</v>
      </c>
      <c r="O192" s="69">
        <v>0.64900000000000002</v>
      </c>
      <c r="P192" s="69">
        <v>0</v>
      </c>
      <c r="Q192" s="69">
        <v>0</v>
      </c>
      <c r="R192" s="69">
        <v>0</v>
      </c>
      <c r="S192" s="69">
        <v>0</v>
      </c>
      <c r="T192" s="69">
        <v>1.526</v>
      </c>
      <c r="U192" s="69">
        <v>0.29399999999999998</v>
      </c>
      <c r="V192" s="69">
        <v>0</v>
      </c>
      <c r="W192" s="71">
        <v>0.178933333</v>
      </c>
      <c r="X192" s="71">
        <v>0.106443567</v>
      </c>
      <c r="Y192" s="69">
        <v>15</v>
      </c>
      <c r="Z192" s="71">
        <v>4.4733333330000002</v>
      </c>
      <c r="AA192" s="71">
        <v>2.661089182</v>
      </c>
    </row>
    <row r="193" spans="1:27">
      <c r="A193" s="72">
        <v>41122</v>
      </c>
      <c r="B193" t="s">
        <v>387</v>
      </c>
      <c r="C193" s="69" t="s">
        <v>434</v>
      </c>
      <c r="D193" s="69" t="s">
        <v>400</v>
      </c>
      <c r="E193" s="69" t="s">
        <v>407</v>
      </c>
      <c r="F193" s="69" t="s">
        <v>403</v>
      </c>
      <c r="G193" s="73" t="str">
        <f t="shared" si="2"/>
        <v>new above</v>
      </c>
      <c r="H193" s="69">
        <v>0</v>
      </c>
      <c r="I193" s="69">
        <v>0</v>
      </c>
      <c r="J193" s="69">
        <v>0</v>
      </c>
      <c r="K193" s="69">
        <v>0</v>
      </c>
      <c r="L193" s="69">
        <v>0</v>
      </c>
      <c r="M193" s="69">
        <v>0.107</v>
      </c>
      <c r="N193" s="69">
        <v>0.03</v>
      </c>
      <c r="O193" s="69">
        <v>0.34499999999999997</v>
      </c>
      <c r="P193" s="69">
        <v>0</v>
      </c>
      <c r="Q193" s="69">
        <v>0</v>
      </c>
      <c r="R193" s="69">
        <v>0</v>
      </c>
      <c r="S193" s="69">
        <v>0</v>
      </c>
      <c r="T193" s="69">
        <v>0.41199999999999998</v>
      </c>
      <c r="U193" s="69">
        <v>0.05</v>
      </c>
      <c r="V193" s="69">
        <v>0</v>
      </c>
      <c r="W193" s="71">
        <v>6.2933332999999994E-2</v>
      </c>
      <c r="X193" s="71">
        <v>3.4101315E-2</v>
      </c>
      <c r="Y193" s="69">
        <v>15</v>
      </c>
      <c r="Z193" s="71">
        <v>1.5733333329999999</v>
      </c>
      <c r="AA193" s="71">
        <v>0.852532874</v>
      </c>
    </row>
    <row r="194" spans="1:27">
      <c r="A194" s="72">
        <v>41122</v>
      </c>
      <c r="B194" t="s">
        <v>387</v>
      </c>
      <c r="C194" s="69" t="s">
        <v>434</v>
      </c>
      <c r="D194" s="69" t="s">
        <v>400</v>
      </c>
      <c r="E194" s="69" t="s">
        <v>407</v>
      </c>
      <c r="F194" s="69" t="s">
        <v>404</v>
      </c>
      <c r="G194" s="73" t="str">
        <f t="shared" si="2"/>
        <v>old above</v>
      </c>
      <c r="H194" s="69">
        <v>0</v>
      </c>
      <c r="I194" s="69">
        <v>0</v>
      </c>
      <c r="J194" s="69">
        <v>0</v>
      </c>
      <c r="K194" s="69">
        <v>0</v>
      </c>
      <c r="L194" s="69">
        <v>0</v>
      </c>
      <c r="M194" s="69">
        <v>0.55100000000000005</v>
      </c>
      <c r="N194" s="69">
        <v>0.53900000000000003</v>
      </c>
      <c r="O194" s="69">
        <v>2.7829999999999999</v>
      </c>
      <c r="P194" s="69">
        <v>0</v>
      </c>
      <c r="Q194" s="69">
        <v>0</v>
      </c>
      <c r="R194" s="69">
        <v>0</v>
      </c>
      <c r="S194" s="69">
        <v>0</v>
      </c>
      <c r="T194" s="69">
        <v>7.1609999999999996</v>
      </c>
      <c r="U194" s="69">
        <v>0.311</v>
      </c>
      <c r="V194" s="69">
        <v>0</v>
      </c>
      <c r="W194" s="71">
        <v>0.75633333300000005</v>
      </c>
      <c r="X194" s="71">
        <v>0.49345840400000002</v>
      </c>
      <c r="Y194" s="69">
        <v>15</v>
      </c>
      <c r="Z194" s="71">
        <v>18.908333330000001</v>
      </c>
      <c r="AA194" s="71">
        <v>12.336460110000001</v>
      </c>
    </row>
    <row r="195" spans="1:27">
      <c r="A195" s="72">
        <v>41122</v>
      </c>
      <c r="B195" t="s">
        <v>387</v>
      </c>
      <c r="C195" s="69" t="s">
        <v>434</v>
      </c>
      <c r="D195" s="69" t="s">
        <v>400</v>
      </c>
      <c r="E195" s="69" t="s">
        <v>407</v>
      </c>
      <c r="F195" s="69" t="s">
        <v>405</v>
      </c>
      <c r="G195" s="73" t="str">
        <f t="shared" ref="G195:G258" si="3">IF(OR(F195="blade",F195="sheath",F195="v1",F195="v0",F195="buds",F195="new buds",,F195="inflorescence",F195="inflor.",F195="inc. blade",F195="inc. sheath",F195="cys",F195="inflor/culm",F195="infl. bud",F195="inc. cys",F195="cys blade",F195="cys sheath",F195="sheath/culm",F195="new above",F195="new leaves",F195="new stems",F195="long leaf",F195="long stem",F195="short leaf",F195="short stem",F195="fruit"),"new above",IF(OR(F195="old stems",F195="old leaves",F195="old above",),"old above",IF(OR(F195="rhizome",F195="below",F195="below stems",F195="roots",),"below",IF(OR(F195="live",F195="live green"),"non-vascular",IF(OR(F195="standing dead",F195="litter"),"litter","")))))</f>
        <v>new above</v>
      </c>
      <c r="H195" s="69">
        <v>0</v>
      </c>
      <c r="I195" s="69">
        <v>0</v>
      </c>
      <c r="J195" s="69">
        <v>0</v>
      </c>
      <c r="K195" s="69">
        <v>0</v>
      </c>
      <c r="L195" s="69">
        <v>0</v>
      </c>
      <c r="M195" s="69">
        <v>0</v>
      </c>
      <c r="N195" s="69">
        <v>0</v>
      </c>
      <c r="O195" s="69">
        <v>0</v>
      </c>
      <c r="P195" s="69">
        <v>0</v>
      </c>
      <c r="Q195" s="69">
        <v>0</v>
      </c>
      <c r="R195" s="69">
        <v>0</v>
      </c>
      <c r="S195" s="69">
        <v>0</v>
      </c>
      <c r="T195" s="69">
        <v>0</v>
      </c>
      <c r="U195" s="69">
        <v>0</v>
      </c>
      <c r="V195" s="69">
        <v>0</v>
      </c>
      <c r="W195" s="71">
        <v>0</v>
      </c>
      <c r="X195" s="71">
        <v>0</v>
      </c>
      <c r="Y195" s="69">
        <v>15</v>
      </c>
      <c r="Z195" s="71">
        <v>0</v>
      </c>
      <c r="AA195" s="71">
        <v>0</v>
      </c>
    </row>
    <row r="196" spans="1:27">
      <c r="A196" s="72">
        <v>41122</v>
      </c>
      <c r="B196" t="s">
        <v>387</v>
      </c>
      <c r="C196" s="69" t="s">
        <v>434</v>
      </c>
      <c r="D196" s="69" t="s">
        <v>400</v>
      </c>
      <c r="E196" s="69" t="s">
        <v>407</v>
      </c>
      <c r="F196" s="69" t="s">
        <v>406</v>
      </c>
      <c r="G196" s="73" t="str">
        <f t="shared" si="3"/>
        <v>below</v>
      </c>
      <c r="H196" s="69">
        <v>0</v>
      </c>
      <c r="I196" s="69">
        <v>0</v>
      </c>
      <c r="J196" s="69">
        <v>0</v>
      </c>
      <c r="K196" s="69">
        <v>0</v>
      </c>
      <c r="L196" s="69">
        <v>0</v>
      </c>
      <c r="M196" s="69">
        <v>6.27</v>
      </c>
      <c r="N196" s="69">
        <v>3.887</v>
      </c>
      <c r="O196" s="69">
        <v>0</v>
      </c>
      <c r="P196" s="69">
        <v>0</v>
      </c>
      <c r="Q196" s="69">
        <v>0</v>
      </c>
      <c r="R196" s="69">
        <v>0</v>
      </c>
      <c r="S196" s="69">
        <v>3.66</v>
      </c>
      <c r="T196" s="69">
        <v>9.6259999999999994</v>
      </c>
      <c r="U196" s="69">
        <v>0</v>
      </c>
      <c r="V196" s="69">
        <v>0</v>
      </c>
      <c r="W196" s="71">
        <v>1.562866667</v>
      </c>
      <c r="X196" s="71">
        <v>0.76792503899999998</v>
      </c>
      <c r="Y196" s="69">
        <v>15</v>
      </c>
      <c r="Z196" s="71">
        <v>39.071666669999999</v>
      </c>
      <c r="AA196" s="71">
        <v>19.19812597</v>
      </c>
    </row>
    <row r="197" spans="1:27">
      <c r="A197" s="72">
        <v>41122</v>
      </c>
      <c r="B197" t="s">
        <v>387</v>
      </c>
      <c r="C197" s="69" t="s">
        <v>434</v>
      </c>
      <c r="D197" s="69" t="s">
        <v>400</v>
      </c>
      <c r="E197" s="69" t="s">
        <v>408</v>
      </c>
      <c r="F197" s="69" t="s">
        <v>402</v>
      </c>
      <c r="G197" s="73" t="str">
        <f t="shared" si="3"/>
        <v>new above</v>
      </c>
      <c r="H197" s="69">
        <v>0.20200000000000001</v>
      </c>
      <c r="I197" s="69">
        <v>0.46600000000000003</v>
      </c>
      <c r="J197" s="69">
        <v>0.111</v>
      </c>
      <c r="K197" s="69">
        <v>1.7999999999999999E-2</v>
      </c>
      <c r="L197" s="69">
        <v>0.32400000000000001</v>
      </c>
      <c r="M197" s="69" t="s">
        <v>436</v>
      </c>
      <c r="N197" s="69">
        <v>0</v>
      </c>
      <c r="O197" s="69">
        <v>0.94399999999999995</v>
      </c>
      <c r="P197" s="69">
        <v>0.38300000000000001</v>
      </c>
      <c r="Q197" s="69">
        <v>0</v>
      </c>
      <c r="R197" s="69">
        <v>0.25600000000000001</v>
      </c>
      <c r="S197" s="69">
        <v>2.5999999999999999E-2</v>
      </c>
      <c r="T197" s="69">
        <v>0</v>
      </c>
      <c r="U197" s="69">
        <v>0</v>
      </c>
      <c r="V197" s="69">
        <v>0</v>
      </c>
      <c r="W197" s="71">
        <v>0.19500000000000001</v>
      </c>
      <c r="X197" s="71">
        <v>7.2144086999999996E-2</v>
      </c>
      <c r="Y197" s="69">
        <v>14</v>
      </c>
      <c r="Z197" s="71" t="s">
        <v>436</v>
      </c>
      <c r="AA197" s="71" t="s">
        <v>436</v>
      </c>
    </row>
    <row r="198" spans="1:27">
      <c r="A198" s="72">
        <v>41122</v>
      </c>
      <c r="B198" t="s">
        <v>387</v>
      </c>
      <c r="C198" s="69" t="s">
        <v>434</v>
      </c>
      <c r="D198" s="69" t="s">
        <v>400</v>
      </c>
      <c r="E198" s="69" t="s">
        <v>408</v>
      </c>
      <c r="F198" s="69" t="s">
        <v>403</v>
      </c>
      <c r="G198" s="73" t="str">
        <f t="shared" si="3"/>
        <v>new above</v>
      </c>
      <c r="H198" s="69">
        <v>0.252</v>
      </c>
      <c r="I198" s="69">
        <v>8.5999999999999993E-2</v>
      </c>
      <c r="J198" s="69">
        <v>0.217</v>
      </c>
      <c r="K198" s="69">
        <v>0</v>
      </c>
      <c r="L198" s="69">
        <v>0.216</v>
      </c>
      <c r="M198" s="69">
        <v>0.11600000000000001</v>
      </c>
      <c r="N198" s="69">
        <v>0</v>
      </c>
      <c r="O198" s="69">
        <v>0.24199999999999999</v>
      </c>
      <c r="P198" s="69">
        <v>0.16900000000000001</v>
      </c>
      <c r="Q198" s="69">
        <v>0</v>
      </c>
      <c r="R198" s="69">
        <v>3.4000000000000002E-2</v>
      </c>
      <c r="S198" s="69">
        <v>2.8000000000000001E-2</v>
      </c>
      <c r="T198" s="69">
        <v>0</v>
      </c>
      <c r="U198" s="69">
        <v>0</v>
      </c>
      <c r="V198" s="69">
        <v>0</v>
      </c>
      <c r="W198" s="71">
        <v>9.0666667000000006E-2</v>
      </c>
      <c r="X198" s="71">
        <v>2.6173353999999999E-2</v>
      </c>
      <c r="Y198" s="69">
        <v>15</v>
      </c>
      <c r="Z198" s="71">
        <v>2.266666667</v>
      </c>
      <c r="AA198" s="71">
        <v>0.65433384299999997</v>
      </c>
    </row>
    <row r="199" spans="1:27">
      <c r="A199" s="72">
        <v>41122</v>
      </c>
      <c r="B199" t="s">
        <v>387</v>
      </c>
      <c r="C199" s="69" t="s">
        <v>434</v>
      </c>
      <c r="D199" s="69" t="s">
        <v>400</v>
      </c>
      <c r="E199" s="69" t="s">
        <v>408</v>
      </c>
      <c r="F199" s="69" t="s">
        <v>404</v>
      </c>
      <c r="G199" s="73" t="str">
        <f t="shared" si="3"/>
        <v>old above</v>
      </c>
      <c r="H199" s="69">
        <v>1.127</v>
      </c>
      <c r="I199" s="69">
        <v>1.522</v>
      </c>
      <c r="J199" s="69">
        <v>1.141</v>
      </c>
      <c r="K199" s="69">
        <v>7.0999999999999994E-2</v>
      </c>
      <c r="L199" s="69">
        <v>1.075</v>
      </c>
      <c r="M199" s="69">
        <v>1.84</v>
      </c>
      <c r="N199" s="69">
        <v>0</v>
      </c>
      <c r="O199" s="69">
        <v>8.1280000000000001</v>
      </c>
      <c r="P199" s="69">
        <v>2.028</v>
      </c>
      <c r="Q199" s="69">
        <v>0</v>
      </c>
      <c r="R199" s="69">
        <v>1.365</v>
      </c>
      <c r="S199" s="69">
        <v>0.151</v>
      </c>
      <c r="T199" s="69">
        <v>0</v>
      </c>
      <c r="U199" s="69">
        <v>0</v>
      </c>
      <c r="V199" s="69">
        <v>0</v>
      </c>
      <c r="W199" s="71">
        <v>1.229866667</v>
      </c>
      <c r="X199" s="71">
        <v>0.52919243800000004</v>
      </c>
      <c r="Y199" s="69">
        <v>15</v>
      </c>
      <c r="Z199" s="71">
        <v>30.74666667</v>
      </c>
      <c r="AA199" s="71">
        <v>13.22981096</v>
      </c>
    </row>
    <row r="200" spans="1:27">
      <c r="A200" s="72">
        <v>41122</v>
      </c>
      <c r="B200" t="s">
        <v>387</v>
      </c>
      <c r="C200" s="69" t="s">
        <v>434</v>
      </c>
      <c r="D200" s="69" t="s">
        <v>400</v>
      </c>
      <c r="E200" s="69" t="s">
        <v>408</v>
      </c>
      <c r="F200" s="69" t="s">
        <v>405</v>
      </c>
      <c r="G200" s="73" t="str">
        <f t="shared" si="3"/>
        <v>new above</v>
      </c>
      <c r="H200" s="69">
        <v>0</v>
      </c>
      <c r="I200" s="69">
        <v>0</v>
      </c>
      <c r="J200" s="69">
        <v>0</v>
      </c>
      <c r="K200" s="69">
        <v>0</v>
      </c>
      <c r="L200" s="69">
        <v>0.05</v>
      </c>
      <c r="M200" s="69">
        <v>0</v>
      </c>
      <c r="N200" s="69">
        <v>0</v>
      </c>
      <c r="O200" s="69">
        <v>0</v>
      </c>
      <c r="P200" s="69">
        <v>0</v>
      </c>
      <c r="Q200" s="69">
        <v>0</v>
      </c>
      <c r="R200" s="69">
        <v>0</v>
      </c>
      <c r="S200" s="69">
        <v>0</v>
      </c>
      <c r="T200" s="69">
        <v>0</v>
      </c>
      <c r="U200" s="69">
        <v>0</v>
      </c>
      <c r="V200" s="69">
        <v>0</v>
      </c>
      <c r="W200" s="71">
        <v>3.333333E-3</v>
      </c>
      <c r="X200" s="71">
        <v>3.333333E-3</v>
      </c>
      <c r="Y200" s="69">
        <v>15</v>
      </c>
      <c r="Z200" s="71">
        <v>8.3333332999999996E-2</v>
      </c>
      <c r="AA200" s="71">
        <v>8.3333332999999996E-2</v>
      </c>
    </row>
    <row r="201" spans="1:27">
      <c r="A201" s="72">
        <v>41122</v>
      </c>
      <c r="B201" t="s">
        <v>387</v>
      </c>
      <c r="C201" s="69" t="s">
        <v>434</v>
      </c>
      <c r="D201" s="69" t="s">
        <v>400</v>
      </c>
      <c r="E201" s="69" t="s">
        <v>408</v>
      </c>
      <c r="F201" s="69" t="s">
        <v>406</v>
      </c>
      <c r="G201" s="73" t="str">
        <f t="shared" si="3"/>
        <v>below</v>
      </c>
      <c r="H201" s="69">
        <v>1.3460000000000001</v>
      </c>
      <c r="I201" s="69">
        <v>3.2959999999999998</v>
      </c>
      <c r="J201" s="69">
        <v>2.9489999999999998</v>
      </c>
      <c r="K201" s="69">
        <v>2.5000000000000001E-2</v>
      </c>
      <c r="L201" s="69">
        <v>0.68600000000000005</v>
      </c>
      <c r="M201" s="69">
        <v>2.2530000000000001</v>
      </c>
      <c r="N201" s="69">
        <v>0</v>
      </c>
      <c r="O201" s="69">
        <v>9.3559999999999999</v>
      </c>
      <c r="P201" s="69">
        <v>2.8620000000000001</v>
      </c>
      <c r="Q201" s="69">
        <v>0</v>
      </c>
      <c r="R201" s="69">
        <v>1.3640000000000001</v>
      </c>
      <c r="S201" s="69">
        <v>0</v>
      </c>
      <c r="T201" s="69">
        <v>0</v>
      </c>
      <c r="U201" s="69">
        <v>0</v>
      </c>
      <c r="V201" s="69">
        <v>0</v>
      </c>
      <c r="W201" s="71">
        <v>1.6091333329999999</v>
      </c>
      <c r="X201" s="71">
        <v>0.63869579799999998</v>
      </c>
      <c r="Y201" s="69">
        <v>15</v>
      </c>
      <c r="Z201" s="71">
        <v>40.228333329999998</v>
      </c>
      <c r="AA201" s="71">
        <v>15.967394949999999</v>
      </c>
    </row>
    <row r="202" spans="1:27">
      <c r="A202" s="72">
        <v>41122</v>
      </c>
      <c r="B202" t="s">
        <v>387</v>
      </c>
      <c r="C202" s="69" t="s">
        <v>434</v>
      </c>
      <c r="D202" s="69" t="s">
        <v>400</v>
      </c>
      <c r="E202" s="69" t="s">
        <v>409</v>
      </c>
      <c r="F202" s="69" t="s">
        <v>402</v>
      </c>
      <c r="G202" s="73" t="str">
        <f t="shared" si="3"/>
        <v>new above</v>
      </c>
      <c r="H202" s="69">
        <v>0.09</v>
      </c>
      <c r="I202" s="69">
        <v>0</v>
      </c>
      <c r="J202" s="69">
        <v>0</v>
      </c>
      <c r="K202" s="69">
        <v>0</v>
      </c>
      <c r="L202" s="69">
        <v>0</v>
      </c>
      <c r="M202" s="69">
        <v>0</v>
      </c>
      <c r="N202" s="69">
        <v>0</v>
      </c>
      <c r="O202" s="69">
        <v>0</v>
      </c>
      <c r="P202" s="69">
        <v>0</v>
      </c>
      <c r="Q202" s="69">
        <v>0</v>
      </c>
      <c r="R202" s="69">
        <v>0</v>
      </c>
      <c r="S202" s="69">
        <v>0</v>
      </c>
      <c r="T202" s="69">
        <v>0</v>
      </c>
      <c r="U202" s="69">
        <v>0</v>
      </c>
      <c r="V202" s="69">
        <v>0</v>
      </c>
      <c r="W202" s="71">
        <v>6.0000000000000001E-3</v>
      </c>
      <c r="X202" s="71">
        <v>6.0000000000000001E-3</v>
      </c>
      <c r="Y202" s="69">
        <v>15</v>
      </c>
      <c r="Z202" s="71">
        <v>0.15</v>
      </c>
      <c r="AA202" s="71">
        <v>0.15</v>
      </c>
    </row>
    <row r="203" spans="1:27">
      <c r="A203" s="72">
        <v>41122</v>
      </c>
      <c r="B203" t="s">
        <v>387</v>
      </c>
      <c r="C203" s="69" t="s">
        <v>434</v>
      </c>
      <c r="D203" s="69" t="s">
        <v>400</v>
      </c>
      <c r="E203" s="69" t="s">
        <v>409</v>
      </c>
      <c r="F203" s="69" t="s">
        <v>403</v>
      </c>
      <c r="G203" s="73" t="str">
        <f t="shared" si="3"/>
        <v>new above</v>
      </c>
      <c r="H203" s="69">
        <v>0</v>
      </c>
      <c r="I203" s="69">
        <v>0</v>
      </c>
      <c r="J203" s="69">
        <v>0</v>
      </c>
      <c r="K203" s="69">
        <v>0</v>
      </c>
      <c r="L203" s="69">
        <v>0</v>
      </c>
      <c r="M203" s="69">
        <v>0</v>
      </c>
      <c r="N203" s="69">
        <v>0</v>
      </c>
      <c r="O203" s="69">
        <v>0</v>
      </c>
      <c r="P203" s="69">
        <v>0</v>
      </c>
      <c r="Q203" s="69">
        <v>0</v>
      </c>
      <c r="R203" s="69">
        <v>0</v>
      </c>
      <c r="S203" s="69">
        <v>0</v>
      </c>
      <c r="T203" s="69">
        <v>0</v>
      </c>
      <c r="U203" s="69">
        <v>0</v>
      </c>
      <c r="V203" s="69">
        <v>0</v>
      </c>
      <c r="W203" s="71">
        <v>0</v>
      </c>
      <c r="X203" s="71">
        <v>0</v>
      </c>
      <c r="Y203" s="69">
        <v>15</v>
      </c>
      <c r="Z203" s="71">
        <v>0</v>
      </c>
      <c r="AA203" s="71">
        <v>0</v>
      </c>
    </row>
    <row r="204" spans="1:27">
      <c r="A204" s="72">
        <v>41122</v>
      </c>
      <c r="B204" t="s">
        <v>387</v>
      </c>
      <c r="C204" s="69" t="s">
        <v>434</v>
      </c>
      <c r="D204" s="69" t="s">
        <v>400</v>
      </c>
      <c r="E204" s="69" t="s">
        <v>409</v>
      </c>
      <c r="F204" s="69" t="s">
        <v>404</v>
      </c>
      <c r="G204" s="73" t="str">
        <f t="shared" si="3"/>
        <v>old above</v>
      </c>
      <c r="H204" s="69">
        <v>0</v>
      </c>
      <c r="I204" s="69">
        <v>0</v>
      </c>
      <c r="J204" s="69">
        <v>0</v>
      </c>
      <c r="K204" s="69">
        <v>0</v>
      </c>
      <c r="L204" s="69">
        <v>0</v>
      </c>
      <c r="M204" s="69">
        <v>0</v>
      </c>
      <c r="N204" s="69">
        <v>0</v>
      </c>
      <c r="O204" s="69">
        <v>0</v>
      </c>
      <c r="P204" s="69">
        <v>0</v>
      </c>
      <c r="Q204" s="69">
        <v>0</v>
      </c>
      <c r="R204" s="69">
        <v>0</v>
      </c>
      <c r="S204" s="69">
        <v>0</v>
      </c>
      <c r="T204" s="69">
        <v>0</v>
      </c>
      <c r="U204" s="69">
        <v>0</v>
      </c>
      <c r="V204" s="69">
        <v>0</v>
      </c>
      <c r="W204" s="71">
        <v>0</v>
      </c>
      <c r="X204" s="71">
        <v>0</v>
      </c>
      <c r="Y204" s="69">
        <v>15</v>
      </c>
      <c r="Z204" s="71">
        <v>0</v>
      </c>
      <c r="AA204" s="71">
        <v>0</v>
      </c>
    </row>
    <row r="205" spans="1:27">
      <c r="A205" s="72">
        <v>41122</v>
      </c>
      <c r="B205" t="s">
        <v>387</v>
      </c>
      <c r="C205" s="69" t="s">
        <v>434</v>
      </c>
      <c r="D205" s="69" t="s">
        <v>400</v>
      </c>
      <c r="E205" s="69" t="s">
        <v>409</v>
      </c>
      <c r="F205" s="69" t="s">
        <v>405</v>
      </c>
      <c r="G205" s="73" t="str">
        <f t="shared" si="3"/>
        <v>new above</v>
      </c>
      <c r="H205" s="69">
        <v>0</v>
      </c>
      <c r="I205" s="69">
        <v>0</v>
      </c>
      <c r="J205" s="69">
        <v>0</v>
      </c>
      <c r="K205" s="69">
        <v>0</v>
      </c>
      <c r="L205" s="69">
        <v>0</v>
      </c>
      <c r="M205" s="69">
        <v>0</v>
      </c>
      <c r="N205" s="69">
        <v>0</v>
      </c>
      <c r="O205" s="69">
        <v>0</v>
      </c>
      <c r="P205" s="69">
        <v>0</v>
      </c>
      <c r="Q205" s="69">
        <v>0</v>
      </c>
      <c r="R205" s="69">
        <v>0</v>
      </c>
      <c r="S205" s="69">
        <v>0</v>
      </c>
      <c r="T205" s="69">
        <v>0</v>
      </c>
      <c r="U205" s="69">
        <v>0</v>
      </c>
      <c r="V205" s="69">
        <v>0</v>
      </c>
      <c r="W205" s="71">
        <v>0</v>
      </c>
      <c r="X205" s="71">
        <v>0</v>
      </c>
      <c r="Y205" s="69">
        <v>15</v>
      </c>
      <c r="Z205" s="71">
        <v>0</v>
      </c>
      <c r="AA205" s="71">
        <v>0</v>
      </c>
    </row>
    <row r="206" spans="1:27">
      <c r="A206" s="72">
        <v>41122</v>
      </c>
      <c r="B206" t="s">
        <v>387</v>
      </c>
      <c r="C206" s="69" t="s">
        <v>434</v>
      </c>
      <c r="D206" s="69" t="s">
        <v>400</v>
      </c>
      <c r="E206" s="69" t="s">
        <v>409</v>
      </c>
      <c r="F206" s="69" t="s">
        <v>406</v>
      </c>
      <c r="G206" s="73" t="str">
        <f t="shared" si="3"/>
        <v>below</v>
      </c>
      <c r="H206" s="69">
        <v>2.8780000000000001</v>
      </c>
      <c r="I206" s="69">
        <v>0</v>
      </c>
      <c r="J206" s="69">
        <v>0</v>
      </c>
      <c r="K206" s="69">
        <v>0</v>
      </c>
      <c r="L206" s="69">
        <v>0</v>
      </c>
      <c r="M206" s="69">
        <v>0</v>
      </c>
      <c r="N206" s="69">
        <v>0</v>
      </c>
      <c r="O206" s="69">
        <v>0</v>
      </c>
      <c r="P206" s="69">
        <v>0</v>
      </c>
      <c r="Q206" s="69">
        <v>0</v>
      </c>
      <c r="R206" s="69">
        <v>0</v>
      </c>
      <c r="S206" s="69">
        <v>0</v>
      </c>
      <c r="T206" s="69">
        <v>0</v>
      </c>
      <c r="U206" s="69">
        <v>0</v>
      </c>
      <c r="V206" s="69">
        <v>0</v>
      </c>
      <c r="W206" s="71">
        <v>0.19186666699999999</v>
      </c>
      <c r="X206" s="71">
        <v>0.19186666699999999</v>
      </c>
      <c r="Y206" s="69">
        <v>15</v>
      </c>
      <c r="Z206" s="71">
        <v>4.7966666670000002</v>
      </c>
      <c r="AA206" s="71">
        <v>4.7966666670000002</v>
      </c>
    </row>
    <row r="207" spans="1:27">
      <c r="A207" s="72">
        <v>41122</v>
      </c>
      <c r="B207" t="s">
        <v>387</v>
      </c>
      <c r="C207" s="69" t="s">
        <v>434</v>
      </c>
      <c r="D207" s="69" t="s">
        <v>411</v>
      </c>
      <c r="E207" s="69" t="s">
        <v>412</v>
      </c>
      <c r="F207" s="69" t="s">
        <v>402</v>
      </c>
      <c r="G207" s="73" t="str">
        <f t="shared" si="3"/>
        <v>new above</v>
      </c>
      <c r="H207" s="69">
        <v>0.76200000000000001</v>
      </c>
      <c r="I207" s="69">
        <v>1.204</v>
      </c>
      <c r="J207" s="69">
        <v>4.9000000000000002E-2</v>
      </c>
      <c r="K207" s="69">
        <v>0.66300000000000003</v>
      </c>
      <c r="L207" s="69">
        <v>0.70199999999999996</v>
      </c>
      <c r="M207" s="69">
        <v>0.29299999999999998</v>
      </c>
      <c r="N207" s="69">
        <v>1.802</v>
      </c>
      <c r="O207" s="69">
        <v>1.8460000000000001</v>
      </c>
      <c r="P207" s="69">
        <v>0.78600000000000003</v>
      </c>
      <c r="Q207" s="69">
        <v>0.65900000000000003</v>
      </c>
      <c r="R207" s="69">
        <v>0.74299999999999999</v>
      </c>
      <c r="S207" s="69">
        <v>1.0149999999999999</v>
      </c>
      <c r="T207" s="69">
        <v>1.2649999999999999</v>
      </c>
      <c r="U207" s="69">
        <v>1.474</v>
      </c>
      <c r="V207" s="69">
        <v>0.49099999999999999</v>
      </c>
      <c r="W207" s="71">
        <v>0.91693333300000002</v>
      </c>
      <c r="X207" s="71">
        <v>0.13349933</v>
      </c>
      <c r="Y207" s="69">
        <v>15</v>
      </c>
      <c r="Z207" s="71">
        <v>22.923333329999998</v>
      </c>
      <c r="AA207" s="71">
        <v>3.33748325</v>
      </c>
    </row>
    <row r="208" spans="1:27">
      <c r="A208" s="72">
        <v>41122</v>
      </c>
      <c r="B208" t="s">
        <v>387</v>
      </c>
      <c r="C208" s="69" t="s">
        <v>434</v>
      </c>
      <c r="D208" s="69" t="s">
        <v>411</v>
      </c>
      <c r="E208" s="69" t="s">
        <v>412</v>
      </c>
      <c r="F208" s="69" t="s">
        <v>403</v>
      </c>
      <c r="G208" s="73" t="str">
        <f t="shared" si="3"/>
        <v>new above</v>
      </c>
      <c r="H208" s="69">
        <v>0.23799999999999999</v>
      </c>
      <c r="I208" s="69">
        <v>0.43099999999999999</v>
      </c>
      <c r="J208" s="69">
        <v>0.02</v>
      </c>
      <c r="K208" s="69">
        <v>0.19800000000000001</v>
      </c>
      <c r="L208" s="69">
        <v>0.17899999999999999</v>
      </c>
      <c r="M208" s="69">
        <v>0.114</v>
      </c>
      <c r="N208" s="69">
        <v>0.48099999999999998</v>
      </c>
      <c r="O208" s="69">
        <v>0.60499999999999998</v>
      </c>
      <c r="P208" s="69">
        <v>0.216</v>
      </c>
      <c r="Q208" s="69">
        <v>0.66700000000000004</v>
      </c>
      <c r="R208" s="69">
        <v>0.38900000000000001</v>
      </c>
      <c r="S208" s="69">
        <v>0.45400000000000001</v>
      </c>
      <c r="T208" s="69">
        <v>0.57299999999999995</v>
      </c>
      <c r="U208" s="69">
        <v>0.69899999999999995</v>
      </c>
      <c r="V208" s="69">
        <v>0.27500000000000002</v>
      </c>
      <c r="W208" s="71">
        <v>0.36926666699999999</v>
      </c>
      <c r="X208" s="71">
        <v>5.4362143000000002E-2</v>
      </c>
      <c r="Y208" s="69">
        <v>15</v>
      </c>
      <c r="Z208" s="71">
        <v>9.2316666670000007</v>
      </c>
      <c r="AA208" s="71">
        <v>1.359053563</v>
      </c>
    </row>
    <row r="209" spans="1:27">
      <c r="A209" s="72">
        <v>41122</v>
      </c>
      <c r="B209" t="s">
        <v>387</v>
      </c>
      <c r="C209" s="69" t="s">
        <v>434</v>
      </c>
      <c r="D209" s="69" t="s">
        <v>411</v>
      </c>
      <c r="E209" s="69" t="s">
        <v>412</v>
      </c>
      <c r="F209" s="69" t="s">
        <v>413</v>
      </c>
      <c r="G209" s="73" t="str">
        <f t="shared" si="3"/>
        <v>old above</v>
      </c>
      <c r="H209" s="69">
        <v>0.375</v>
      </c>
      <c r="I209" s="69">
        <v>1.5740000000000001</v>
      </c>
      <c r="J209" s="69">
        <v>2.3E-2</v>
      </c>
      <c r="K209" s="69">
        <v>0.33300000000000002</v>
      </c>
      <c r="L209" s="69">
        <v>1.4359999999999999</v>
      </c>
      <c r="M209" s="69">
        <v>7.0999999999999994E-2</v>
      </c>
      <c r="N209" s="69">
        <v>0.373</v>
      </c>
      <c r="O209" s="69">
        <v>1.1359999999999999</v>
      </c>
      <c r="P209" s="69">
        <v>3.2410000000000001</v>
      </c>
      <c r="Q209" s="69">
        <v>1.002</v>
      </c>
      <c r="R209" s="69">
        <v>0.79500000000000004</v>
      </c>
      <c r="S209" s="69">
        <v>0.33500000000000002</v>
      </c>
      <c r="T209" s="69">
        <v>1.383</v>
      </c>
      <c r="U209" s="69">
        <v>1.2010000000000001</v>
      </c>
      <c r="V209" s="69">
        <v>5.7000000000000002E-2</v>
      </c>
      <c r="W209" s="71">
        <v>0.88900000000000001</v>
      </c>
      <c r="X209" s="71">
        <v>0.218022935</v>
      </c>
      <c r="Y209" s="69">
        <v>15</v>
      </c>
      <c r="Z209" s="71">
        <v>22.225000000000001</v>
      </c>
      <c r="AA209" s="71">
        <v>5.4505733640000003</v>
      </c>
    </row>
    <row r="210" spans="1:27">
      <c r="A210" s="72">
        <v>41122</v>
      </c>
      <c r="B210" t="s">
        <v>387</v>
      </c>
      <c r="C210" s="69" t="s">
        <v>434</v>
      </c>
      <c r="D210" s="69" t="s">
        <v>411</v>
      </c>
      <c r="E210" s="69" t="s">
        <v>412</v>
      </c>
      <c r="F210" s="69" t="s">
        <v>404</v>
      </c>
      <c r="G210" s="73" t="str">
        <f t="shared" si="3"/>
        <v>old above</v>
      </c>
      <c r="H210" s="69">
        <v>0.61599999999999999</v>
      </c>
      <c r="I210" s="69">
        <v>5.0030000000000001</v>
      </c>
      <c r="J210" s="69">
        <v>3.6999999999999998E-2</v>
      </c>
      <c r="K210" s="69">
        <v>1.5589999999999999</v>
      </c>
      <c r="L210" s="69">
        <v>6.0979999999999999</v>
      </c>
      <c r="M210" s="69">
        <v>0.96499999999999997</v>
      </c>
      <c r="N210" s="69">
        <v>3.6789999999999998</v>
      </c>
      <c r="O210" s="69">
        <v>12.093</v>
      </c>
      <c r="P210" s="69">
        <v>4.7990000000000004</v>
      </c>
      <c r="Q210" s="69">
        <v>2.1160000000000001</v>
      </c>
      <c r="R210" s="69">
        <v>2.8069999999999999</v>
      </c>
      <c r="S210" s="69">
        <v>4.4450000000000003</v>
      </c>
      <c r="T210" s="69">
        <v>4.3620000000000001</v>
      </c>
      <c r="U210" s="69">
        <v>4.2489999999999997</v>
      </c>
      <c r="V210" s="69">
        <v>2.95</v>
      </c>
      <c r="W210" s="71">
        <v>3.7185333329999999</v>
      </c>
      <c r="X210" s="71">
        <v>0.75356346399999996</v>
      </c>
      <c r="Y210" s="69">
        <v>15</v>
      </c>
      <c r="Z210" s="71">
        <v>92.963333329999998</v>
      </c>
      <c r="AA210" s="71">
        <v>18.839086590000001</v>
      </c>
    </row>
    <row r="211" spans="1:27">
      <c r="A211" s="72">
        <v>41122</v>
      </c>
      <c r="B211" t="s">
        <v>387</v>
      </c>
      <c r="C211" s="69" t="s">
        <v>434</v>
      </c>
      <c r="D211" s="69" t="s">
        <v>411</v>
      </c>
      <c r="E211" s="69" t="s">
        <v>412</v>
      </c>
      <c r="F211" s="69" t="s">
        <v>405</v>
      </c>
      <c r="G211" s="73" t="str">
        <f t="shared" si="3"/>
        <v>new above</v>
      </c>
      <c r="H211" s="69">
        <v>2.5999999999999999E-2</v>
      </c>
      <c r="I211" s="69">
        <v>0</v>
      </c>
      <c r="J211" s="69">
        <v>0</v>
      </c>
      <c r="K211" s="69">
        <v>0</v>
      </c>
      <c r="L211" s="69">
        <v>2.1000000000000001E-2</v>
      </c>
      <c r="M211" s="69">
        <v>0</v>
      </c>
      <c r="N211" s="69">
        <v>2.7E-2</v>
      </c>
      <c r="O211" s="69">
        <v>0.28000000000000003</v>
      </c>
      <c r="P211" s="69">
        <v>8.5000000000000006E-2</v>
      </c>
      <c r="Q211" s="69">
        <v>0</v>
      </c>
      <c r="R211" s="69">
        <v>0.42199999999999999</v>
      </c>
      <c r="S211" s="69">
        <v>0</v>
      </c>
      <c r="T211" s="69">
        <v>0.26200000000000001</v>
      </c>
      <c r="U211" s="69">
        <v>0.223</v>
      </c>
      <c r="V211" s="69">
        <v>2.1999999999999999E-2</v>
      </c>
      <c r="W211" s="71">
        <v>9.1200000000000003E-2</v>
      </c>
      <c r="X211" s="71">
        <v>3.5162912999999997E-2</v>
      </c>
      <c r="Y211" s="69">
        <v>15</v>
      </c>
      <c r="Z211" s="71">
        <v>2.2799999999999998</v>
      </c>
      <c r="AA211" s="71">
        <v>0.87907283400000003</v>
      </c>
    </row>
    <row r="212" spans="1:27">
      <c r="A212" s="72">
        <v>41122</v>
      </c>
      <c r="B212" t="s">
        <v>387</v>
      </c>
      <c r="C212" s="69" t="s">
        <v>434</v>
      </c>
      <c r="D212" s="69" t="s">
        <v>411</v>
      </c>
      <c r="E212" s="69" t="s">
        <v>412</v>
      </c>
      <c r="F212" s="69" t="s">
        <v>406</v>
      </c>
      <c r="G212" s="73" t="str">
        <f t="shared" si="3"/>
        <v>below</v>
      </c>
      <c r="H212" s="69">
        <v>3.8540000000000001</v>
      </c>
      <c r="I212" s="69">
        <v>3.0640000000000001</v>
      </c>
      <c r="J212" s="69">
        <v>1.5720000000000001</v>
      </c>
      <c r="K212" s="69">
        <v>1.355</v>
      </c>
      <c r="L212" s="69">
        <v>20.363</v>
      </c>
      <c r="M212" s="69">
        <v>1.86</v>
      </c>
      <c r="N212" s="69">
        <v>9.0950000000000006</v>
      </c>
      <c r="O212" s="69">
        <v>9.0090000000000003</v>
      </c>
      <c r="P212" s="69">
        <v>2.2610000000000001</v>
      </c>
      <c r="Q212" s="69">
        <v>10.772</v>
      </c>
      <c r="R212" s="69">
        <v>8.5299999999999994</v>
      </c>
      <c r="S212" s="69">
        <v>5.8129999999999997</v>
      </c>
      <c r="T212" s="69">
        <v>5.59</v>
      </c>
      <c r="U212" s="69">
        <v>4.1139999999999999</v>
      </c>
      <c r="V212" s="69">
        <v>5.1349999999999998</v>
      </c>
      <c r="W212" s="71">
        <v>6.1591333329999998</v>
      </c>
      <c r="X212" s="71">
        <v>1.2794316809999999</v>
      </c>
      <c r="Y212" s="69">
        <v>15</v>
      </c>
      <c r="Z212" s="71">
        <v>153.9783333</v>
      </c>
      <c r="AA212" s="71">
        <v>31.985792029999999</v>
      </c>
    </row>
    <row r="213" spans="1:27">
      <c r="A213" s="72">
        <v>41122</v>
      </c>
      <c r="B213" t="s">
        <v>387</v>
      </c>
      <c r="C213" s="69" t="s">
        <v>434</v>
      </c>
      <c r="D213" s="69" t="s">
        <v>411</v>
      </c>
      <c r="E213" s="69" t="s">
        <v>414</v>
      </c>
      <c r="F213" s="69" t="s">
        <v>402</v>
      </c>
      <c r="G213" s="73" t="str">
        <f t="shared" si="3"/>
        <v>new above</v>
      </c>
      <c r="H213" s="69">
        <v>0.71099999999999997</v>
      </c>
      <c r="I213" s="69">
        <v>0.69399999999999995</v>
      </c>
      <c r="J213" s="69">
        <v>0.54500000000000004</v>
      </c>
      <c r="K213" s="69">
        <v>0.56899999999999995</v>
      </c>
      <c r="L213" s="69">
        <v>1.0109999999999999</v>
      </c>
      <c r="M213" s="69">
        <v>0.81299999999999994</v>
      </c>
      <c r="N213" s="69">
        <v>0.89900000000000002</v>
      </c>
      <c r="O213" s="69">
        <v>0.39300000000000002</v>
      </c>
      <c r="P213" s="69">
        <v>0.36199999999999999</v>
      </c>
      <c r="Q213" s="69">
        <v>0.41099999999999998</v>
      </c>
      <c r="R213" s="69">
        <v>0.48699999999999999</v>
      </c>
      <c r="S213" s="69">
        <v>0.38200000000000001</v>
      </c>
      <c r="T213" s="69">
        <v>0.92300000000000004</v>
      </c>
      <c r="U213" s="69">
        <v>0.83799999999999997</v>
      </c>
      <c r="V213" s="69">
        <v>0.28000000000000003</v>
      </c>
      <c r="W213" s="71">
        <v>0.62119999999999997</v>
      </c>
      <c r="X213" s="71">
        <v>6.0982916999999998E-2</v>
      </c>
      <c r="Y213" s="69">
        <v>15</v>
      </c>
      <c r="Z213" s="71">
        <v>15.53</v>
      </c>
      <c r="AA213" s="71">
        <v>1.5245729299999999</v>
      </c>
    </row>
    <row r="214" spans="1:27">
      <c r="A214" s="72">
        <v>41122</v>
      </c>
      <c r="B214" t="s">
        <v>387</v>
      </c>
      <c r="C214" s="69" t="s">
        <v>434</v>
      </c>
      <c r="D214" s="69" t="s">
        <v>411</v>
      </c>
      <c r="E214" s="69" t="s">
        <v>414</v>
      </c>
      <c r="F214" s="69" t="s">
        <v>403</v>
      </c>
      <c r="G214" s="73" t="str">
        <f t="shared" si="3"/>
        <v>new above</v>
      </c>
      <c r="H214" s="69">
        <v>0.28799999999999998</v>
      </c>
      <c r="I214" s="69">
        <v>0.13800000000000001</v>
      </c>
      <c r="J214" s="69">
        <v>6.4000000000000001E-2</v>
      </c>
      <c r="K214" s="69">
        <v>0.1</v>
      </c>
      <c r="L214" s="69">
        <v>0.17100000000000001</v>
      </c>
      <c r="M214" s="69">
        <v>0.18</v>
      </c>
      <c r="N214" s="69">
        <v>0.161</v>
      </c>
      <c r="O214" s="69">
        <v>6.2E-2</v>
      </c>
      <c r="P214" s="69">
        <v>0.114</v>
      </c>
      <c r="Q214" s="69">
        <v>8.8999999999999996E-2</v>
      </c>
      <c r="R214" s="69">
        <v>0.222</v>
      </c>
      <c r="S214" s="69">
        <v>7.6999999999999999E-2</v>
      </c>
      <c r="T214" s="69">
        <v>0.14899999999999999</v>
      </c>
      <c r="U214" s="69">
        <v>0.255</v>
      </c>
      <c r="V214" s="69">
        <v>7.3999999999999996E-2</v>
      </c>
      <c r="W214" s="71">
        <v>0.142933333</v>
      </c>
      <c r="X214" s="71">
        <v>1.8240840000000001E-2</v>
      </c>
      <c r="Y214" s="69">
        <v>15</v>
      </c>
      <c r="Z214" s="71">
        <v>3.5733333329999999</v>
      </c>
      <c r="AA214" s="71">
        <v>0.45602100699999998</v>
      </c>
    </row>
    <row r="215" spans="1:27">
      <c r="A215" s="72">
        <v>41122</v>
      </c>
      <c r="B215" t="s">
        <v>387</v>
      </c>
      <c r="C215" s="69" t="s">
        <v>434</v>
      </c>
      <c r="D215" s="69" t="s">
        <v>411</v>
      </c>
      <c r="E215" s="69" t="s">
        <v>414</v>
      </c>
      <c r="F215" s="69" t="s">
        <v>413</v>
      </c>
      <c r="G215" s="73" t="str">
        <f t="shared" si="3"/>
        <v>old above</v>
      </c>
      <c r="H215" s="69">
        <v>0.56000000000000005</v>
      </c>
      <c r="I215" s="69">
        <v>2.4649999999999999</v>
      </c>
      <c r="J215" s="69">
        <v>1.56</v>
      </c>
      <c r="K215" s="69">
        <v>0.626</v>
      </c>
      <c r="L215" s="69">
        <v>1.925</v>
      </c>
      <c r="M215" s="69">
        <v>1.355</v>
      </c>
      <c r="N215" s="69">
        <v>1.5760000000000001</v>
      </c>
      <c r="O215" s="69">
        <v>1.492</v>
      </c>
      <c r="P215" s="69">
        <v>1.532</v>
      </c>
      <c r="Q215" s="69">
        <v>1.7430000000000001</v>
      </c>
      <c r="R215" s="69">
        <v>0.39300000000000002</v>
      </c>
      <c r="S215" s="69">
        <v>0.19500000000000001</v>
      </c>
      <c r="T215" s="69">
        <v>1.861</v>
      </c>
      <c r="U215" s="69">
        <v>1.716</v>
      </c>
      <c r="V215" s="69">
        <v>0.155</v>
      </c>
      <c r="W215" s="71">
        <v>1.2769333329999999</v>
      </c>
      <c r="X215" s="71">
        <v>0.18280823900000001</v>
      </c>
      <c r="Y215" s="69">
        <v>15</v>
      </c>
      <c r="Z215" s="71">
        <v>31.923333329999998</v>
      </c>
      <c r="AA215" s="71">
        <v>4.5702059630000003</v>
      </c>
    </row>
    <row r="216" spans="1:27">
      <c r="A216" s="72">
        <v>41122</v>
      </c>
      <c r="B216" t="s">
        <v>387</v>
      </c>
      <c r="C216" s="69" t="s">
        <v>434</v>
      </c>
      <c r="D216" s="69" t="s">
        <v>411</v>
      </c>
      <c r="E216" s="69" t="s">
        <v>414</v>
      </c>
      <c r="F216" s="69" t="s">
        <v>404</v>
      </c>
      <c r="G216" s="73" t="str">
        <f t="shared" si="3"/>
        <v>old above</v>
      </c>
      <c r="H216" s="69">
        <v>0.68400000000000005</v>
      </c>
      <c r="I216" s="69">
        <v>1.147</v>
      </c>
      <c r="J216" s="69">
        <v>0.77800000000000002</v>
      </c>
      <c r="K216" s="69">
        <v>0.63200000000000001</v>
      </c>
      <c r="L216" s="69">
        <v>1.9590000000000001</v>
      </c>
      <c r="M216" s="69">
        <v>0.94599999999999995</v>
      </c>
      <c r="N216" s="69">
        <v>0.95299999999999996</v>
      </c>
      <c r="O216" s="69">
        <v>0.746</v>
      </c>
      <c r="P216" s="69">
        <v>1.258</v>
      </c>
      <c r="Q216" s="69">
        <v>1.323</v>
      </c>
      <c r="R216" s="69">
        <v>1.635</v>
      </c>
      <c r="S216" s="69">
        <v>0.47399999999999998</v>
      </c>
      <c r="T216" s="69">
        <v>1.4379999999999999</v>
      </c>
      <c r="U216" s="69">
        <v>1.339</v>
      </c>
      <c r="V216" s="69">
        <v>0.19900000000000001</v>
      </c>
      <c r="W216" s="71">
        <v>1.0340666670000001</v>
      </c>
      <c r="X216" s="71">
        <v>0.121051877</v>
      </c>
      <c r="Y216" s="69">
        <v>15</v>
      </c>
      <c r="Z216" s="71">
        <v>25.85166667</v>
      </c>
      <c r="AA216" s="71">
        <v>3.0262969150000001</v>
      </c>
    </row>
    <row r="217" spans="1:27">
      <c r="A217" s="72">
        <v>41122</v>
      </c>
      <c r="B217" t="s">
        <v>387</v>
      </c>
      <c r="C217" s="69" t="s">
        <v>434</v>
      </c>
      <c r="D217" s="69" t="s">
        <v>411</v>
      </c>
      <c r="E217" s="69" t="s">
        <v>414</v>
      </c>
      <c r="F217" s="69" t="s">
        <v>405</v>
      </c>
      <c r="G217" s="73" t="str">
        <f t="shared" si="3"/>
        <v>new above</v>
      </c>
      <c r="H217" s="69">
        <v>0</v>
      </c>
      <c r="I217" s="69">
        <v>0</v>
      </c>
      <c r="J217" s="69">
        <v>0</v>
      </c>
      <c r="K217" s="69">
        <v>0</v>
      </c>
      <c r="L217" s="69">
        <v>0</v>
      </c>
      <c r="M217" s="69">
        <v>3.1E-2</v>
      </c>
      <c r="N217" s="69">
        <v>0</v>
      </c>
      <c r="O217" s="69">
        <v>0</v>
      </c>
      <c r="P217" s="69">
        <v>0</v>
      </c>
      <c r="Q217" s="69">
        <v>0</v>
      </c>
      <c r="R217" s="69">
        <v>0</v>
      </c>
      <c r="S217" s="69">
        <v>0</v>
      </c>
      <c r="T217" s="69">
        <v>0</v>
      </c>
      <c r="U217" s="69">
        <v>0</v>
      </c>
      <c r="V217" s="69">
        <v>0</v>
      </c>
      <c r="W217" s="71">
        <v>2.0666669999999999E-3</v>
      </c>
      <c r="X217" s="71">
        <v>2.0666669999999999E-3</v>
      </c>
      <c r="Y217" s="69">
        <v>15</v>
      </c>
      <c r="Z217" s="71">
        <v>5.1666666999999999E-2</v>
      </c>
      <c r="AA217" s="71">
        <v>5.1666666999999999E-2</v>
      </c>
    </row>
    <row r="218" spans="1:27">
      <c r="A218" s="72">
        <v>41122</v>
      </c>
      <c r="B218" t="s">
        <v>387</v>
      </c>
      <c r="C218" s="69" t="s">
        <v>434</v>
      </c>
      <c r="D218" s="69" t="s">
        <v>411</v>
      </c>
      <c r="E218" s="69" t="s">
        <v>414</v>
      </c>
      <c r="F218" s="69" t="s">
        <v>406</v>
      </c>
      <c r="G218" s="73" t="str">
        <f t="shared" si="3"/>
        <v>below</v>
      </c>
      <c r="H218" s="69">
        <v>2.2450000000000001</v>
      </c>
      <c r="I218" s="69">
        <v>1.4390000000000001</v>
      </c>
      <c r="J218" s="69">
        <v>3.2389999999999999</v>
      </c>
      <c r="K218" s="69">
        <v>1.3340000000000001</v>
      </c>
      <c r="L218" s="69">
        <v>3.5150000000000001</v>
      </c>
      <c r="M218" s="69">
        <v>1.9339999999999999</v>
      </c>
      <c r="N218" s="69">
        <v>2.4609999999999999</v>
      </c>
      <c r="O218" s="69">
        <v>0.27400000000000002</v>
      </c>
      <c r="P218" s="69">
        <v>3.4340000000000002</v>
      </c>
      <c r="Q218" s="69">
        <v>2.2599999999999998</v>
      </c>
      <c r="R218" s="69">
        <v>2.8029999999999999</v>
      </c>
      <c r="S218" s="69">
        <v>0.441</v>
      </c>
      <c r="T218" s="69">
        <v>0.92500000000000004</v>
      </c>
      <c r="U218" s="69">
        <v>1.61</v>
      </c>
      <c r="V218" s="69">
        <v>0.26200000000000001</v>
      </c>
      <c r="W218" s="71">
        <v>1.8784000000000001</v>
      </c>
      <c r="X218" s="71">
        <v>0.28577728299999999</v>
      </c>
      <c r="Y218" s="69">
        <v>15</v>
      </c>
      <c r="Z218" s="71">
        <v>46.96</v>
      </c>
      <c r="AA218" s="71">
        <v>7.1444320640000001</v>
      </c>
    </row>
    <row r="219" spans="1:27">
      <c r="A219" s="72">
        <v>41122</v>
      </c>
      <c r="B219" t="s">
        <v>387</v>
      </c>
      <c r="C219" s="69" t="s">
        <v>434</v>
      </c>
      <c r="D219" s="69" t="s">
        <v>411</v>
      </c>
      <c r="E219" s="69" t="s">
        <v>415</v>
      </c>
      <c r="F219" s="69" t="s">
        <v>403</v>
      </c>
      <c r="G219" s="73" t="str">
        <f t="shared" si="3"/>
        <v>new above</v>
      </c>
      <c r="H219" s="69">
        <v>0</v>
      </c>
      <c r="I219" s="69">
        <v>0</v>
      </c>
      <c r="J219" s="69">
        <v>0</v>
      </c>
      <c r="K219" s="69">
        <v>0</v>
      </c>
      <c r="L219" s="69">
        <v>0</v>
      </c>
      <c r="M219" s="69">
        <v>0</v>
      </c>
      <c r="N219" s="69">
        <v>0</v>
      </c>
      <c r="O219" s="69">
        <v>0</v>
      </c>
      <c r="P219" s="69">
        <v>0</v>
      </c>
      <c r="Q219" s="69">
        <v>0</v>
      </c>
      <c r="R219" s="69">
        <v>0.24</v>
      </c>
      <c r="S219" s="69">
        <v>1.018</v>
      </c>
      <c r="T219" s="69">
        <v>0.65200000000000002</v>
      </c>
      <c r="U219" s="69">
        <v>1.2769999999999999</v>
      </c>
      <c r="V219" s="69">
        <v>3.7999999999999999E-2</v>
      </c>
      <c r="W219" s="71">
        <v>0.215</v>
      </c>
      <c r="X219" s="71">
        <v>0.108184719</v>
      </c>
      <c r="Y219" s="69">
        <v>15</v>
      </c>
      <c r="Z219" s="71">
        <v>5.375</v>
      </c>
      <c r="AA219" s="71">
        <v>2.7046179640000001</v>
      </c>
    </row>
    <row r="220" spans="1:27">
      <c r="A220" s="72">
        <v>41122</v>
      </c>
      <c r="B220" t="s">
        <v>387</v>
      </c>
      <c r="C220" s="69" t="s">
        <v>434</v>
      </c>
      <c r="D220" s="69" t="s">
        <v>411</v>
      </c>
      <c r="E220" s="69" t="s">
        <v>415</v>
      </c>
      <c r="F220" s="69" t="s">
        <v>404</v>
      </c>
      <c r="G220" s="73" t="str">
        <f t="shared" si="3"/>
        <v>old above</v>
      </c>
      <c r="H220" s="69">
        <v>0</v>
      </c>
      <c r="I220" s="69">
        <v>0</v>
      </c>
      <c r="J220" s="69">
        <v>0</v>
      </c>
      <c r="K220" s="69">
        <v>0</v>
      </c>
      <c r="L220" s="69">
        <v>0</v>
      </c>
      <c r="M220" s="69">
        <v>0</v>
      </c>
      <c r="N220" s="69">
        <v>0</v>
      </c>
      <c r="O220" s="69">
        <v>0</v>
      </c>
      <c r="P220" s="69">
        <v>0</v>
      </c>
      <c r="Q220" s="69">
        <v>0</v>
      </c>
      <c r="R220" s="69">
        <v>9.8000000000000004E-2</v>
      </c>
      <c r="S220" s="69">
        <v>5.3780000000000001</v>
      </c>
      <c r="T220" s="69">
        <v>0.89300000000000002</v>
      </c>
      <c r="U220" s="69">
        <v>1.41</v>
      </c>
      <c r="V220" s="69">
        <v>0.65600000000000003</v>
      </c>
      <c r="W220" s="71">
        <v>0.56233333299999999</v>
      </c>
      <c r="X220" s="71">
        <v>0.36124843899999998</v>
      </c>
      <c r="Y220" s="69">
        <v>15</v>
      </c>
      <c r="Z220" s="71">
        <v>14.05833333</v>
      </c>
      <c r="AA220" s="71">
        <v>9.0312109829999994</v>
      </c>
    </row>
    <row r="221" spans="1:27">
      <c r="A221" s="72">
        <v>41122</v>
      </c>
      <c r="B221" t="s">
        <v>387</v>
      </c>
      <c r="C221" s="69" t="s">
        <v>434</v>
      </c>
      <c r="D221" s="69" t="s">
        <v>411</v>
      </c>
      <c r="E221" s="69" t="s">
        <v>415</v>
      </c>
      <c r="F221" s="69" t="s">
        <v>405</v>
      </c>
      <c r="G221" s="73" t="str">
        <f t="shared" si="3"/>
        <v>new above</v>
      </c>
      <c r="H221" s="69">
        <v>0</v>
      </c>
      <c r="I221" s="69">
        <v>0</v>
      </c>
      <c r="J221" s="69">
        <v>0</v>
      </c>
      <c r="K221" s="69">
        <v>0</v>
      </c>
      <c r="L221" s="69">
        <v>0</v>
      </c>
      <c r="M221" s="69">
        <v>0</v>
      </c>
      <c r="N221" s="69">
        <v>0</v>
      </c>
      <c r="O221" s="69">
        <v>0</v>
      </c>
      <c r="P221" s="69">
        <v>0</v>
      </c>
      <c r="Q221" s="69">
        <v>0</v>
      </c>
      <c r="R221" s="69">
        <v>0</v>
      </c>
      <c r="S221" s="69">
        <v>0</v>
      </c>
      <c r="T221" s="69">
        <v>0</v>
      </c>
      <c r="U221" s="69">
        <v>0</v>
      </c>
      <c r="V221" s="69">
        <v>0</v>
      </c>
      <c r="W221" s="71">
        <v>0</v>
      </c>
      <c r="X221" s="71">
        <v>0</v>
      </c>
      <c r="Y221" s="69">
        <v>15</v>
      </c>
      <c r="Z221" s="71">
        <v>0</v>
      </c>
      <c r="AA221" s="71">
        <v>0</v>
      </c>
    </row>
    <row r="222" spans="1:27">
      <c r="A222" s="72">
        <v>41122</v>
      </c>
      <c r="B222" t="s">
        <v>387</v>
      </c>
      <c r="C222" s="69" t="s">
        <v>434</v>
      </c>
      <c r="D222" s="69" t="s">
        <v>411</v>
      </c>
      <c r="E222" s="69" t="s">
        <v>415</v>
      </c>
      <c r="F222" s="69" t="s">
        <v>406</v>
      </c>
      <c r="G222" s="73" t="str">
        <f t="shared" si="3"/>
        <v>below</v>
      </c>
      <c r="H222" s="69">
        <v>0</v>
      </c>
      <c r="I222" s="69">
        <v>0</v>
      </c>
      <c r="J222" s="69">
        <v>0</v>
      </c>
      <c r="K222" s="69">
        <v>0</v>
      </c>
      <c r="L222" s="69">
        <v>0</v>
      </c>
      <c r="M222" s="69">
        <v>0</v>
      </c>
      <c r="N222" s="69">
        <v>0</v>
      </c>
      <c r="O222" s="69">
        <v>0</v>
      </c>
      <c r="P222" s="69">
        <v>0</v>
      </c>
      <c r="Q222" s="69">
        <v>0</v>
      </c>
      <c r="R222" s="69">
        <v>0.308</v>
      </c>
      <c r="S222" s="69">
        <v>0.58899999999999997</v>
      </c>
      <c r="T222" s="69">
        <v>0.17199999999999999</v>
      </c>
      <c r="U222" s="69">
        <v>1.2889999999999999</v>
      </c>
      <c r="V222" s="69">
        <v>0.59899999999999998</v>
      </c>
      <c r="W222" s="71">
        <v>0.19713333299999999</v>
      </c>
      <c r="X222" s="71">
        <v>9.5338188000000004E-2</v>
      </c>
      <c r="Y222" s="69">
        <v>15</v>
      </c>
      <c r="Z222" s="71">
        <v>4.9283333330000003</v>
      </c>
      <c r="AA222" s="71">
        <v>2.383454709</v>
      </c>
    </row>
    <row r="223" spans="1:27">
      <c r="A223" s="72">
        <v>41122</v>
      </c>
      <c r="B223" t="s">
        <v>387</v>
      </c>
      <c r="C223" s="69" t="s">
        <v>434</v>
      </c>
      <c r="D223" s="69" t="s">
        <v>411</v>
      </c>
      <c r="E223" s="69" t="s">
        <v>416</v>
      </c>
      <c r="F223" s="69" t="s">
        <v>402</v>
      </c>
      <c r="G223" s="73" t="str">
        <f t="shared" si="3"/>
        <v>new above</v>
      </c>
      <c r="H223" s="69">
        <v>0</v>
      </c>
      <c r="I223" s="69">
        <v>0</v>
      </c>
      <c r="J223" s="69">
        <v>0</v>
      </c>
      <c r="K223" s="69">
        <v>0</v>
      </c>
      <c r="L223" s="69">
        <v>0</v>
      </c>
      <c r="M223" s="69">
        <v>0</v>
      </c>
      <c r="N223" s="69">
        <v>0</v>
      </c>
      <c r="O223" s="69">
        <v>0</v>
      </c>
      <c r="P223" s="69">
        <v>0</v>
      </c>
      <c r="Q223" s="69">
        <v>0</v>
      </c>
      <c r="R223" s="69">
        <v>2.8000000000000001E-2</v>
      </c>
      <c r="S223" s="69">
        <v>0</v>
      </c>
      <c r="T223" s="69">
        <v>0</v>
      </c>
      <c r="U223" s="69">
        <v>0</v>
      </c>
      <c r="V223" s="69">
        <v>0</v>
      </c>
      <c r="W223" s="71">
        <v>1.866667E-3</v>
      </c>
      <c r="X223" s="71">
        <v>1.866667E-3</v>
      </c>
      <c r="Y223" s="69">
        <v>15</v>
      </c>
      <c r="Z223" s="71">
        <v>4.6666667000000002E-2</v>
      </c>
      <c r="AA223" s="71">
        <v>4.6666667000000002E-2</v>
      </c>
    </row>
    <row r="224" spans="1:27">
      <c r="A224" s="72">
        <v>41122</v>
      </c>
      <c r="B224" t="s">
        <v>387</v>
      </c>
      <c r="C224" s="69" t="s">
        <v>434</v>
      </c>
      <c r="D224" s="69" t="s">
        <v>411</v>
      </c>
      <c r="E224" s="69" t="s">
        <v>416</v>
      </c>
      <c r="F224" s="69" t="s">
        <v>403</v>
      </c>
      <c r="G224" s="73" t="str">
        <f t="shared" si="3"/>
        <v>new above</v>
      </c>
      <c r="H224" s="69">
        <v>0</v>
      </c>
      <c r="I224" s="69">
        <v>0</v>
      </c>
      <c r="J224" s="69">
        <v>0</v>
      </c>
      <c r="K224" s="69">
        <v>0</v>
      </c>
      <c r="L224" s="69">
        <v>0</v>
      </c>
      <c r="M224" s="69">
        <v>0</v>
      </c>
      <c r="N224" s="69">
        <v>0</v>
      </c>
      <c r="O224" s="69">
        <v>0</v>
      </c>
      <c r="P224" s="69">
        <v>0</v>
      </c>
      <c r="Q224" s="69">
        <v>0</v>
      </c>
      <c r="R224" s="69">
        <v>2.3E-2</v>
      </c>
      <c r="S224" s="69">
        <v>0</v>
      </c>
      <c r="T224" s="69">
        <v>0</v>
      </c>
      <c r="U224" s="69">
        <v>0</v>
      </c>
      <c r="V224" s="69">
        <v>0</v>
      </c>
      <c r="W224" s="71">
        <v>1.533333E-3</v>
      </c>
      <c r="X224" s="71">
        <v>1.533333E-3</v>
      </c>
      <c r="Y224" s="69">
        <v>15</v>
      </c>
      <c r="Z224" s="71">
        <v>3.8333332999999997E-2</v>
      </c>
      <c r="AA224" s="71">
        <v>3.8333332999999997E-2</v>
      </c>
    </row>
    <row r="225" spans="1:27">
      <c r="A225" s="72">
        <v>41122</v>
      </c>
      <c r="B225" t="s">
        <v>387</v>
      </c>
      <c r="C225" s="69" t="s">
        <v>434</v>
      </c>
      <c r="D225" s="69" t="s">
        <v>411</v>
      </c>
      <c r="E225" s="69" t="s">
        <v>416</v>
      </c>
      <c r="F225" s="69" t="s">
        <v>413</v>
      </c>
      <c r="G225" s="73" t="str">
        <f t="shared" si="3"/>
        <v>old above</v>
      </c>
      <c r="H225" s="69">
        <v>0</v>
      </c>
      <c r="I225" s="69">
        <v>0</v>
      </c>
      <c r="J225" s="69">
        <v>0</v>
      </c>
      <c r="K225" s="69">
        <v>0</v>
      </c>
      <c r="L225" s="69">
        <v>0</v>
      </c>
      <c r="M225" s="69">
        <v>0</v>
      </c>
      <c r="N225" s="69">
        <v>0</v>
      </c>
      <c r="O225" s="69">
        <v>0</v>
      </c>
      <c r="P225" s="69">
        <v>0</v>
      </c>
      <c r="Q225" s="69">
        <v>0</v>
      </c>
      <c r="R225" s="69">
        <v>5.0999999999999997E-2</v>
      </c>
      <c r="S225" s="69">
        <v>0</v>
      </c>
      <c r="T225" s="69">
        <v>0</v>
      </c>
      <c r="U225" s="69">
        <v>0</v>
      </c>
      <c r="V225" s="69">
        <v>0</v>
      </c>
      <c r="W225" s="71">
        <v>3.3999999999999998E-3</v>
      </c>
      <c r="X225" s="71">
        <v>3.3999999999999998E-3</v>
      </c>
      <c r="Y225" s="69">
        <v>15</v>
      </c>
      <c r="Z225" s="71">
        <v>8.5000000000000006E-2</v>
      </c>
      <c r="AA225" s="71">
        <v>8.5000000000000006E-2</v>
      </c>
    </row>
    <row r="226" spans="1:27">
      <c r="A226" s="72">
        <v>41122</v>
      </c>
      <c r="B226" t="s">
        <v>387</v>
      </c>
      <c r="C226" s="69" t="s">
        <v>434</v>
      </c>
      <c r="D226" s="69" t="s">
        <v>411</v>
      </c>
      <c r="E226" s="69" t="s">
        <v>416</v>
      </c>
      <c r="F226" s="69" t="s">
        <v>404</v>
      </c>
      <c r="G226" s="73" t="str">
        <f t="shared" si="3"/>
        <v>old above</v>
      </c>
      <c r="H226" s="69">
        <v>0</v>
      </c>
      <c r="I226" s="69">
        <v>0</v>
      </c>
      <c r="J226" s="69">
        <v>0</v>
      </c>
      <c r="K226" s="69">
        <v>0</v>
      </c>
      <c r="L226" s="69">
        <v>0</v>
      </c>
      <c r="M226" s="69">
        <v>0</v>
      </c>
      <c r="N226" s="69">
        <v>0</v>
      </c>
      <c r="O226" s="69">
        <v>0</v>
      </c>
      <c r="P226" s="69">
        <v>0</v>
      </c>
      <c r="Q226" s="69">
        <v>0</v>
      </c>
      <c r="R226" s="69">
        <v>0.41899999999999998</v>
      </c>
      <c r="S226" s="69">
        <v>0</v>
      </c>
      <c r="T226" s="69">
        <v>0</v>
      </c>
      <c r="U226" s="69">
        <v>0</v>
      </c>
      <c r="V226" s="69">
        <v>0</v>
      </c>
      <c r="W226" s="71">
        <v>2.7933333000000001E-2</v>
      </c>
      <c r="X226" s="71">
        <v>2.7933333000000001E-2</v>
      </c>
      <c r="Y226" s="69">
        <v>15</v>
      </c>
      <c r="Z226" s="71">
        <v>0.698333333</v>
      </c>
      <c r="AA226" s="71">
        <v>0.698333333</v>
      </c>
    </row>
    <row r="227" spans="1:27">
      <c r="A227" s="72">
        <v>41122</v>
      </c>
      <c r="B227" t="s">
        <v>387</v>
      </c>
      <c r="C227" s="69" t="s">
        <v>434</v>
      </c>
      <c r="D227" s="69" t="s">
        <v>411</v>
      </c>
      <c r="E227" s="69" t="s">
        <v>416</v>
      </c>
      <c r="F227" s="69" t="s">
        <v>405</v>
      </c>
      <c r="G227" s="73" t="str">
        <f t="shared" si="3"/>
        <v>new above</v>
      </c>
      <c r="H227" s="69">
        <v>0</v>
      </c>
      <c r="I227" s="69">
        <v>0</v>
      </c>
      <c r="J227" s="69">
        <v>0</v>
      </c>
      <c r="K227" s="69">
        <v>0</v>
      </c>
      <c r="L227" s="69">
        <v>0</v>
      </c>
      <c r="M227" s="69">
        <v>0</v>
      </c>
      <c r="N227" s="69">
        <v>0</v>
      </c>
      <c r="O227" s="69">
        <v>0</v>
      </c>
      <c r="P227" s="69">
        <v>0</v>
      </c>
      <c r="Q227" s="69">
        <v>0</v>
      </c>
      <c r="R227" s="69">
        <v>0</v>
      </c>
      <c r="S227" s="69">
        <v>0</v>
      </c>
      <c r="T227" s="69">
        <v>0</v>
      </c>
      <c r="U227" s="69">
        <v>0</v>
      </c>
      <c r="V227" s="69">
        <v>0</v>
      </c>
      <c r="W227" s="71">
        <v>0</v>
      </c>
      <c r="X227" s="71">
        <v>0</v>
      </c>
      <c r="Y227" s="69">
        <v>15</v>
      </c>
      <c r="Z227" s="71">
        <v>0</v>
      </c>
      <c r="AA227" s="71">
        <v>0</v>
      </c>
    </row>
    <row r="228" spans="1:27">
      <c r="A228" s="72">
        <v>41122</v>
      </c>
      <c r="B228" t="s">
        <v>387</v>
      </c>
      <c r="C228" s="69" t="s">
        <v>434</v>
      </c>
      <c r="D228" s="69" t="s">
        <v>411</v>
      </c>
      <c r="E228" s="69" t="s">
        <v>416</v>
      </c>
      <c r="F228" s="69" t="s">
        <v>406</v>
      </c>
      <c r="G228" s="73" t="str">
        <f t="shared" si="3"/>
        <v>below</v>
      </c>
      <c r="H228" s="69">
        <v>0</v>
      </c>
      <c r="I228" s="69">
        <v>0</v>
      </c>
      <c r="J228" s="69">
        <v>0</v>
      </c>
      <c r="K228" s="69">
        <v>0</v>
      </c>
      <c r="L228" s="69">
        <v>0</v>
      </c>
      <c r="M228" s="69">
        <v>0</v>
      </c>
      <c r="N228" s="69">
        <v>0</v>
      </c>
      <c r="O228" s="69">
        <v>0</v>
      </c>
      <c r="P228" s="69">
        <v>0</v>
      </c>
      <c r="Q228" s="69">
        <v>0</v>
      </c>
      <c r="R228" s="69">
        <v>8.5999999999999993E-2</v>
      </c>
      <c r="S228" s="69">
        <v>0</v>
      </c>
      <c r="T228" s="69">
        <v>0</v>
      </c>
      <c r="U228" s="69">
        <v>0</v>
      </c>
      <c r="V228" s="69">
        <v>0</v>
      </c>
      <c r="W228" s="71">
        <v>5.7333330000000002E-3</v>
      </c>
      <c r="X228" s="71">
        <v>5.7333330000000002E-3</v>
      </c>
      <c r="Y228" s="69">
        <v>15</v>
      </c>
      <c r="Z228" s="71">
        <v>0.14333333300000001</v>
      </c>
      <c r="AA228" s="71">
        <v>0.14333333300000001</v>
      </c>
    </row>
    <row r="229" spans="1:27">
      <c r="A229" s="72">
        <v>41122</v>
      </c>
      <c r="B229" t="s">
        <v>387</v>
      </c>
      <c r="C229" s="69" t="s">
        <v>434</v>
      </c>
      <c r="D229" s="69" t="s">
        <v>411</v>
      </c>
      <c r="E229" s="69" t="s">
        <v>417</v>
      </c>
      <c r="F229" s="69" t="s">
        <v>402</v>
      </c>
      <c r="G229" s="73" t="str">
        <f t="shared" si="3"/>
        <v>new above</v>
      </c>
      <c r="H229" s="69">
        <v>0</v>
      </c>
      <c r="I229" s="69">
        <v>0</v>
      </c>
      <c r="J229" s="69">
        <v>0</v>
      </c>
      <c r="K229" s="69">
        <v>0</v>
      </c>
      <c r="L229" s="69">
        <v>0</v>
      </c>
      <c r="M229" s="69">
        <v>0.19400000000000001</v>
      </c>
      <c r="N229" s="69">
        <v>0.128</v>
      </c>
      <c r="O229" s="69">
        <v>3.7999999999999999E-2</v>
      </c>
      <c r="P229" s="69">
        <v>0</v>
      </c>
      <c r="Q229" s="69">
        <v>0</v>
      </c>
      <c r="R229" s="69">
        <v>0</v>
      </c>
      <c r="S229" s="69">
        <v>0.10100000000000001</v>
      </c>
      <c r="T229" s="69">
        <v>0</v>
      </c>
      <c r="U229" s="69">
        <v>9.4E-2</v>
      </c>
      <c r="V229" s="69">
        <v>0</v>
      </c>
      <c r="W229" s="71">
        <v>3.6999999999999998E-2</v>
      </c>
      <c r="X229" s="71">
        <v>1.6030625E-2</v>
      </c>
      <c r="Y229" s="69">
        <v>15</v>
      </c>
      <c r="Z229" s="71">
        <v>0.92500000000000004</v>
      </c>
      <c r="AA229" s="71">
        <v>0.40076563599999998</v>
      </c>
    </row>
    <row r="230" spans="1:27">
      <c r="A230" s="72">
        <v>41122</v>
      </c>
      <c r="B230" t="s">
        <v>387</v>
      </c>
      <c r="C230" s="69" t="s">
        <v>434</v>
      </c>
      <c r="D230" s="69" t="s">
        <v>411</v>
      </c>
      <c r="E230" s="69" t="s">
        <v>417</v>
      </c>
      <c r="F230" s="69" t="s">
        <v>403</v>
      </c>
      <c r="G230" s="73" t="str">
        <f t="shared" si="3"/>
        <v>new above</v>
      </c>
      <c r="H230" s="69">
        <v>0</v>
      </c>
      <c r="I230" s="69">
        <v>0</v>
      </c>
      <c r="J230" s="69">
        <v>0</v>
      </c>
      <c r="K230" s="69">
        <v>0</v>
      </c>
      <c r="L230" s="69">
        <v>0</v>
      </c>
      <c r="M230" s="69">
        <v>9.6000000000000002E-2</v>
      </c>
      <c r="N230" s="69">
        <v>3.5999999999999997E-2</v>
      </c>
      <c r="O230" s="69">
        <v>8.0000000000000002E-3</v>
      </c>
      <c r="P230" s="69">
        <v>0</v>
      </c>
      <c r="Q230" s="69">
        <v>0</v>
      </c>
      <c r="R230" s="69">
        <v>0</v>
      </c>
      <c r="S230" s="69">
        <v>0.03</v>
      </c>
      <c r="T230" s="69">
        <v>0</v>
      </c>
      <c r="U230" s="69">
        <v>6.8000000000000005E-2</v>
      </c>
      <c r="V230" s="69">
        <v>0</v>
      </c>
      <c r="W230" s="71">
        <v>1.5866667000000001E-2</v>
      </c>
      <c r="X230" s="71">
        <v>7.660577E-3</v>
      </c>
      <c r="Y230" s="69">
        <v>15</v>
      </c>
      <c r="Z230" s="71">
        <v>0.39666666699999997</v>
      </c>
      <c r="AA230" s="71">
        <v>0.19151443200000001</v>
      </c>
    </row>
    <row r="231" spans="1:27">
      <c r="A231" s="72">
        <v>41122</v>
      </c>
      <c r="B231" t="s">
        <v>387</v>
      </c>
      <c r="C231" s="69" t="s">
        <v>434</v>
      </c>
      <c r="D231" s="69" t="s">
        <v>411</v>
      </c>
      <c r="E231" s="69" t="s">
        <v>417</v>
      </c>
      <c r="F231" s="69" t="s">
        <v>413</v>
      </c>
      <c r="G231" s="73" t="str">
        <f t="shared" si="3"/>
        <v>old above</v>
      </c>
      <c r="H231" s="69">
        <v>0</v>
      </c>
      <c r="I231" s="69">
        <v>0</v>
      </c>
      <c r="J231" s="69">
        <v>0</v>
      </c>
      <c r="K231" s="69">
        <v>0</v>
      </c>
      <c r="L231" s="69">
        <v>0</v>
      </c>
      <c r="M231" s="69">
        <v>0.434</v>
      </c>
      <c r="N231" s="69">
        <v>0.35099999999999998</v>
      </c>
      <c r="O231" s="69">
        <v>0.14599999999999999</v>
      </c>
      <c r="P231" s="69">
        <v>0</v>
      </c>
      <c r="Q231" s="69">
        <v>0</v>
      </c>
      <c r="R231" s="69">
        <v>0</v>
      </c>
      <c r="S231" s="69">
        <v>0.104</v>
      </c>
      <c r="T231" s="69">
        <v>0</v>
      </c>
      <c r="U231" s="69">
        <v>8.9999999999999993E-3</v>
      </c>
      <c r="V231" s="69">
        <v>0</v>
      </c>
      <c r="W231" s="71">
        <v>6.9599999999999995E-2</v>
      </c>
      <c r="X231" s="71">
        <v>3.5930328999999997E-2</v>
      </c>
      <c r="Y231" s="69">
        <v>15</v>
      </c>
      <c r="Z231" s="71">
        <v>1.74</v>
      </c>
      <c r="AA231" s="71">
        <v>0.89825823500000002</v>
      </c>
    </row>
    <row r="232" spans="1:27">
      <c r="A232" s="72">
        <v>41122</v>
      </c>
      <c r="B232" t="s">
        <v>387</v>
      </c>
      <c r="C232" s="69" t="s">
        <v>434</v>
      </c>
      <c r="D232" s="69" t="s">
        <v>411</v>
      </c>
      <c r="E232" s="69" t="s">
        <v>417</v>
      </c>
      <c r="F232" s="69" t="s">
        <v>404</v>
      </c>
      <c r="G232" s="73" t="str">
        <f t="shared" si="3"/>
        <v>old above</v>
      </c>
      <c r="H232" s="69">
        <v>0</v>
      </c>
      <c r="I232" s="69">
        <v>0</v>
      </c>
      <c r="J232" s="69">
        <v>0</v>
      </c>
      <c r="K232" s="69">
        <v>0</v>
      </c>
      <c r="L232" s="69">
        <v>0</v>
      </c>
      <c r="M232" s="69">
        <v>0.95599999999999996</v>
      </c>
      <c r="N232" s="69">
        <v>0.46800000000000003</v>
      </c>
      <c r="O232" s="69">
        <v>0.33800000000000002</v>
      </c>
      <c r="P232" s="69">
        <v>0</v>
      </c>
      <c r="Q232" s="69">
        <v>0</v>
      </c>
      <c r="R232" s="69">
        <v>0</v>
      </c>
      <c r="S232" s="69">
        <v>0.30099999999999999</v>
      </c>
      <c r="T232" s="69">
        <v>0</v>
      </c>
      <c r="U232" s="69">
        <v>0.70599999999999996</v>
      </c>
      <c r="V232" s="69">
        <v>0</v>
      </c>
      <c r="W232" s="71">
        <v>0.18459999999999999</v>
      </c>
      <c r="X232" s="71">
        <v>7.9435016999999997E-2</v>
      </c>
      <c r="Y232" s="69">
        <v>15</v>
      </c>
      <c r="Z232" s="71">
        <v>4.6150000000000002</v>
      </c>
      <c r="AA232" s="71">
        <v>1.9858754219999999</v>
      </c>
    </row>
    <row r="233" spans="1:27">
      <c r="A233" s="72">
        <v>41122</v>
      </c>
      <c r="B233" t="s">
        <v>387</v>
      </c>
      <c r="C233" s="69" t="s">
        <v>434</v>
      </c>
      <c r="D233" s="69" t="s">
        <v>411</v>
      </c>
      <c r="E233" s="69" t="s">
        <v>417</v>
      </c>
      <c r="F233" s="69" t="s">
        <v>405</v>
      </c>
      <c r="G233" s="73" t="str">
        <f t="shared" si="3"/>
        <v>new above</v>
      </c>
      <c r="H233" s="69">
        <v>0</v>
      </c>
      <c r="I233" s="69">
        <v>0</v>
      </c>
      <c r="J233" s="69">
        <v>0</v>
      </c>
      <c r="K233" s="69">
        <v>0</v>
      </c>
      <c r="L233" s="69">
        <v>0</v>
      </c>
      <c r="M233" s="69">
        <v>0</v>
      </c>
      <c r="N233" s="69">
        <v>0</v>
      </c>
      <c r="O233" s="69">
        <v>0</v>
      </c>
      <c r="P233" s="69">
        <v>0</v>
      </c>
      <c r="Q233" s="69">
        <v>0</v>
      </c>
      <c r="R233" s="69">
        <v>0</v>
      </c>
      <c r="S233" s="69">
        <v>0</v>
      </c>
      <c r="T233" s="69">
        <v>0</v>
      </c>
      <c r="U233" s="69">
        <v>0</v>
      </c>
      <c r="V233" s="69">
        <v>0</v>
      </c>
      <c r="W233" s="71">
        <v>0</v>
      </c>
      <c r="X233" s="71">
        <v>0</v>
      </c>
      <c r="Y233" s="69">
        <v>15</v>
      </c>
      <c r="Z233" s="71">
        <v>0</v>
      </c>
      <c r="AA233" s="71">
        <v>0</v>
      </c>
    </row>
    <row r="234" spans="1:27">
      <c r="A234" s="72">
        <v>41122</v>
      </c>
      <c r="B234" t="s">
        <v>387</v>
      </c>
      <c r="C234" s="69" t="s">
        <v>434</v>
      </c>
      <c r="D234" s="69" t="s">
        <v>411</v>
      </c>
      <c r="E234" s="69" t="s">
        <v>417</v>
      </c>
      <c r="F234" s="69" t="s">
        <v>406</v>
      </c>
      <c r="G234" s="73" t="str">
        <f t="shared" si="3"/>
        <v>below</v>
      </c>
      <c r="H234" s="69">
        <v>0</v>
      </c>
      <c r="I234" s="69">
        <v>0</v>
      </c>
      <c r="J234" s="69">
        <v>0</v>
      </c>
      <c r="K234" s="69">
        <v>0</v>
      </c>
      <c r="L234" s="69">
        <v>0</v>
      </c>
      <c r="M234" s="69">
        <v>0.05</v>
      </c>
      <c r="N234" s="69">
        <v>0.72799999999999998</v>
      </c>
      <c r="O234" s="69">
        <v>0.44800000000000001</v>
      </c>
      <c r="P234" s="69">
        <v>0</v>
      </c>
      <c r="Q234" s="69">
        <v>0</v>
      </c>
      <c r="R234" s="69">
        <v>0</v>
      </c>
      <c r="S234" s="69">
        <v>0</v>
      </c>
      <c r="T234" s="69">
        <v>0</v>
      </c>
      <c r="U234" s="69">
        <v>0.161</v>
      </c>
      <c r="V234" s="69">
        <v>0</v>
      </c>
      <c r="W234" s="71">
        <v>9.2466667000000002E-2</v>
      </c>
      <c r="X234" s="71">
        <v>5.4809529000000003E-2</v>
      </c>
      <c r="Y234" s="69">
        <v>15</v>
      </c>
      <c r="Z234" s="71">
        <v>2.3116666669999999</v>
      </c>
      <c r="AA234" s="71">
        <v>1.370238219</v>
      </c>
    </row>
    <row r="235" spans="1:27">
      <c r="A235" s="72">
        <v>41122</v>
      </c>
      <c r="B235" t="s">
        <v>387</v>
      </c>
      <c r="C235" s="69" t="s">
        <v>434</v>
      </c>
      <c r="D235" s="69" t="s">
        <v>418</v>
      </c>
      <c r="E235" s="69" t="s">
        <v>419</v>
      </c>
      <c r="F235" s="69" t="s">
        <v>420</v>
      </c>
      <c r="G235" s="73" t="str">
        <f t="shared" si="3"/>
        <v>new above</v>
      </c>
      <c r="H235" s="69">
        <v>0</v>
      </c>
      <c r="I235" s="69">
        <v>0.86199999999999999</v>
      </c>
      <c r="J235" s="69">
        <v>0.60399999999999998</v>
      </c>
      <c r="K235" s="69">
        <v>0.34100000000000003</v>
      </c>
      <c r="L235" s="69">
        <v>0.42499999999999999</v>
      </c>
      <c r="M235" s="69">
        <v>0</v>
      </c>
      <c r="N235" s="69">
        <v>0</v>
      </c>
      <c r="O235" s="69">
        <v>0</v>
      </c>
      <c r="P235" s="69">
        <v>0</v>
      </c>
      <c r="Q235" s="69">
        <v>0</v>
      </c>
      <c r="R235" s="69">
        <v>0</v>
      </c>
      <c r="S235" s="69">
        <v>0</v>
      </c>
      <c r="T235" s="69">
        <v>0</v>
      </c>
      <c r="U235" s="69">
        <v>0</v>
      </c>
      <c r="V235" s="69">
        <v>0</v>
      </c>
      <c r="W235" s="71">
        <v>0.14879999999999999</v>
      </c>
      <c r="X235" s="71">
        <v>7.1469088E-2</v>
      </c>
      <c r="Y235" s="69">
        <v>15</v>
      </c>
      <c r="Z235" s="71">
        <v>3.72</v>
      </c>
      <c r="AA235" s="71">
        <v>1.786727189</v>
      </c>
    </row>
    <row r="236" spans="1:27">
      <c r="A236" s="72">
        <v>41122</v>
      </c>
      <c r="B236" t="s">
        <v>387</v>
      </c>
      <c r="C236" s="69" t="s">
        <v>434</v>
      </c>
      <c r="D236" s="69" t="s">
        <v>418</v>
      </c>
      <c r="E236" s="69" t="s">
        <v>419</v>
      </c>
      <c r="F236" s="69" t="s">
        <v>421</v>
      </c>
      <c r="G236" s="73" t="str">
        <f t="shared" si="3"/>
        <v>below</v>
      </c>
      <c r="H236" s="69">
        <v>0.501</v>
      </c>
      <c r="I236" s="69">
        <v>1.0569999999999999</v>
      </c>
      <c r="J236" s="69">
        <v>1.1519999999999999</v>
      </c>
      <c r="K236" s="69">
        <v>0.65900000000000003</v>
      </c>
      <c r="L236" s="69">
        <v>1.6890000000000001</v>
      </c>
      <c r="M236" s="69">
        <v>0</v>
      </c>
      <c r="N236" s="69">
        <v>0</v>
      </c>
      <c r="O236" s="69">
        <v>0</v>
      </c>
      <c r="P236" s="69">
        <v>0</v>
      </c>
      <c r="Q236" s="69">
        <v>0</v>
      </c>
      <c r="R236" s="69">
        <v>0</v>
      </c>
      <c r="S236" s="69">
        <v>0</v>
      </c>
      <c r="T236" s="69">
        <v>0</v>
      </c>
      <c r="U236" s="69">
        <v>0</v>
      </c>
      <c r="V236" s="69">
        <v>0</v>
      </c>
      <c r="W236" s="71">
        <v>0.3372</v>
      </c>
      <c r="X236" s="71">
        <v>0.14270846700000001</v>
      </c>
      <c r="Y236" s="69">
        <v>15</v>
      </c>
      <c r="Z236" s="71">
        <v>8.43</v>
      </c>
      <c r="AA236" s="71">
        <v>3.5677116849999999</v>
      </c>
    </row>
    <row r="237" spans="1:27">
      <c r="A237" s="72">
        <v>41122</v>
      </c>
      <c r="B237" t="s">
        <v>387</v>
      </c>
      <c r="C237" s="69" t="s">
        <v>434</v>
      </c>
      <c r="D237" s="69" t="s">
        <v>418</v>
      </c>
      <c r="E237" s="69" t="s">
        <v>422</v>
      </c>
      <c r="F237" s="69" t="s">
        <v>420</v>
      </c>
      <c r="G237" s="73" t="str">
        <f t="shared" si="3"/>
        <v>new above</v>
      </c>
      <c r="H237" s="69">
        <v>0</v>
      </c>
      <c r="I237" s="69">
        <v>0</v>
      </c>
      <c r="J237" s="69">
        <v>0</v>
      </c>
      <c r="K237" s="69">
        <v>0</v>
      </c>
      <c r="L237" s="69">
        <v>0</v>
      </c>
      <c r="M237" s="69">
        <v>0</v>
      </c>
      <c r="N237" s="69">
        <v>0</v>
      </c>
      <c r="O237" s="69">
        <v>0</v>
      </c>
      <c r="P237" s="69">
        <v>0</v>
      </c>
      <c r="Q237" s="69">
        <v>0</v>
      </c>
      <c r="R237" s="69">
        <v>0.34899999999999998</v>
      </c>
      <c r="S237" s="69">
        <v>0</v>
      </c>
      <c r="T237" s="69">
        <v>0</v>
      </c>
      <c r="U237" s="69">
        <v>5.7000000000000002E-2</v>
      </c>
      <c r="V237" s="69">
        <v>0</v>
      </c>
      <c r="W237" s="71">
        <v>2.7066666999999999E-2</v>
      </c>
      <c r="X237" s="71">
        <v>2.3305520999999999E-2</v>
      </c>
      <c r="Y237" s="69">
        <v>15</v>
      </c>
      <c r="Z237" s="71">
        <v>0.676666667</v>
      </c>
      <c r="AA237" s="71">
        <v>0.58263802099999995</v>
      </c>
    </row>
    <row r="238" spans="1:27">
      <c r="A238" s="72">
        <v>41122</v>
      </c>
      <c r="B238" t="s">
        <v>387</v>
      </c>
      <c r="C238" s="69" t="s">
        <v>434</v>
      </c>
      <c r="D238" s="69" t="s">
        <v>418</v>
      </c>
      <c r="E238" s="69" t="s">
        <v>422</v>
      </c>
      <c r="F238" s="69" t="s">
        <v>421</v>
      </c>
      <c r="G238" s="73" t="str">
        <f t="shared" si="3"/>
        <v>below</v>
      </c>
      <c r="H238" s="69">
        <v>0</v>
      </c>
      <c r="I238" s="69">
        <v>0</v>
      </c>
      <c r="J238" s="69">
        <v>0</v>
      </c>
      <c r="K238" s="69">
        <v>0</v>
      </c>
      <c r="L238" s="69">
        <v>0</v>
      </c>
      <c r="M238" s="69">
        <v>0.49099999999999999</v>
      </c>
      <c r="N238" s="69">
        <v>0.105</v>
      </c>
      <c r="O238" s="69">
        <v>0</v>
      </c>
      <c r="P238" s="69">
        <v>0</v>
      </c>
      <c r="Q238" s="69">
        <v>7.1999999999999995E-2</v>
      </c>
      <c r="R238" s="69">
        <v>0.104</v>
      </c>
      <c r="S238" s="69">
        <v>0.378</v>
      </c>
      <c r="T238" s="69">
        <v>0</v>
      </c>
      <c r="U238" s="69">
        <v>0.113</v>
      </c>
      <c r="V238" s="69">
        <v>0.28000000000000003</v>
      </c>
      <c r="W238" s="71">
        <v>0.10286666699999999</v>
      </c>
      <c r="X238" s="71">
        <v>4.0440180999999999E-2</v>
      </c>
      <c r="Y238" s="69">
        <v>15</v>
      </c>
      <c r="Z238" s="71">
        <v>2.5716666670000001</v>
      </c>
      <c r="AA238" s="71">
        <v>1.0110045299999999</v>
      </c>
    </row>
    <row r="239" spans="1:27">
      <c r="A239" s="72">
        <v>41122</v>
      </c>
      <c r="B239" t="s">
        <v>387</v>
      </c>
      <c r="C239" s="69" t="s">
        <v>434</v>
      </c>
      <c r="D239" s="69" t="s">
        <v>418</v>
      </c>
      <c r="E239" s="69" t="s">
        <v>423</v>
      </c>
      <c r="F239" s="69" t="s">
        <v>420</v>
      </c>
      <c r="G239" s="73" t="str">
        <f t="shared" si="3"/>
        <v>new above</v>
      </c>
      <c r="H239" s="69">
        <v>0</v>
      </c>
      <c r="I239" s="69">
        <v>0</v>
      </c>
      <c r="J239" s="69">
        <v>0</v>
      </c>
      <c r="K239" s="69">
        <v>0</v>
      </c>
      <c r="L239" s="69">
        <v>0</v>
      </c>
      <c r="M239" s="69">
        <v>0</v>
      </c>
      <c r="N239" s="69">
        <v>0</v>
      </c>
      <c r="O239" s="69">
        <v>0</v>
      </c>
      <c r="P239" s="69">
        <v>0</v>
      </c>
      <c r="Q239" s="69">
        <v>0</v>
      </c>
      <c r="R239" s="69">
        <v>0</v>
      </c>
      <c r="S239" s="69">
        <v>0</v>
      </c>
      <c r="T239" s="69">
        <v>0</v>
      </c>
      <c r="U239" s="69">
        <v>0</v>
      </c>
      <c r="V239" s="69">
        <v>0</v>
      </c>
      <c r="W239" s="71">
        <v>0</v>
      </c>
      <c r="X239" s="71">
        <v>0</v>
      </c>
      <c r="Y239" s="69">
        <v>15</v>
      </c>
      <c r="Z239" s="71">
        <v>0</v>
      </c>
      <c r="AA239" s="71">
        <v>0</v>
      </c>
    </row>
    <row r="240" spans="1:27">
      <c r="A240" s="72">
        <v>41122</v>
      </c>
      <c r="B240" t="s">
        <v>387</v>
      </c>
      <c r="C240" s="69" t="s">
        <v>434</v>
      </c>
      <c r="D240" s="69" t="s">
        <v>418</v>
      </c>
      <c r="E240" s="69" t="s">
        <v>423</v>
      </c>
      <c r="F240" s="69" t="s">
        <v>421</v>
      </c>
      <c r="G240" s="73" t="str">
        <f t="shared" si="3"/>
        <v>below</v>
      </c>
      <c r="H240" s="69">
        <v>0</v>
      </c>
      <c r="I240" s="69">
        <v>0</v>
      </c>
      <c r="J240" s="69">
        <v>0</v>
      </c>
      <c r="K240" s="69">
        <v>0</v>
      </c>
      <c r="L240" s="69">
        <v>0</v>
      </c>
      <c r="M240" s="69">
        <v>0</v>
      </c>
      <c r="N240" s="69">
        <v>0</v>
      </c>
      <c r="O240" s="69">
        <v>0</v>
      </c>
      <c r="P240" s="69">
        <v>0</v>
      </c>
      <c r="Q240" s="69">
        <v>0</v>
      </c>
      <c r="R240" s="69">
        <v>0</v>
      </c>
      <c r="S240" s="69">
        <v>0</v>
      </c>
      <c r="T240" s="69">
        <v>0</v>
      </c>
      <c r="U240" s="69">
        <v>0</v>
      </c>
      <c r="V240" s="69">
        <v>0</v>
      </c>
      <c r="W240" s="71">
        <v>0</v>
      </c>
      <c r="X240" s="71">
        <v>0</v>
      </c>
      <c r="Y240" s="69">
        <v>15</v>
      </c>
      <c r="Z240" s="71">
        <v>0</v>
      </c>
      <c r="AA240" s="71">
        <v>0</v>
      </c>
    </row>
    <row r="241" spans="1:27">
      <c r="A241" s="72">
        <v>41122</v>
      </c>
      <c r="B241" t="s">
        <v>387</v>
      </c>
      <c r="C241" s="69" t="s">
        <v>434</v>
      </c>
      <c r="D241" s="69" t="s">
        <v>418</v>
      </c>
      <c r="E241" s="69" t="s">
        <v>424</v>
      </c>
      <c r="F241" s="69" t="s">
        <v>420</v>
      </c>
      <c r="G241" s="73" t="str">
        <f t="shared" si="3"/>
        <v>new above</v>
      </c>
      <c r="H241" s="69">
        <v>0</v>
      </c>
      <c r="I241" s="69">
        <v>8.3000000000000004E-2</v>
      </c>
      <c r="J241" s="69">
        <v>0</v>
      </c>
      <c r="K241" s="69">
        <v>0</v>
      </c>
      <c r="L241" s="69">
        <v>6.0000000000000001E-3</v>
      </c>
      <c r="M241" s="69">
        <v>5.7000000000000002E-2</v>
      </c>
      <c r="N241" s="69">
        <v>0.189</v>
      </c>
      <c r="O241" s="69">
        <v>0</v>
      </c>
      <c r="P241" s="69">
        <v>0</v>
      </c>
      <c r="Q241" s="69">
        <v>0</v>
      </c>
      <c r="R241" s="69">
        <v>0</v>
      </c>
      <c r="S241" s="69">
        <v>0</v>
      </c>
      <c r="T241" s="69">
        <v>0</v>
      </c>
      <c r="U241" s="69">
        <v>2.7E-2</v>
      </c>
      <c r="V241" s="69">
        <v>0</v>
      </c>
      <c r="W241" s="71">
        <v>2.4133333E-2</v>
      </c>
      <c r="X241" s="71">
        <v>1.3431968000000001E-2</v>
      </c>
      <c r="Y241" s="69">
        <v>15</v>
      </c>
      <c r="Z241" s="71">
        <v>0.60333333300000003</v>
      </c>
      <c r="AA241" s="71">
        <v>0.33579921200000001</v>
      </c>
    </row>
    <row r="242" spans="1:27">
      <c r="A242" s="72">
        <v>41122</v>
      </c>
      <c r="B242" t="s">
        <v>387</v>
      </c>
      <c r="C242" s="69" t="s">
        <v>434</v>
      </c>
      <c r="D242" s="69" t="s">
        <v>418</v>
      </c>
      <c r="E242" s="69" t="s">
        <v>424</v>
      </c>
      <c r="F242" s="69" t="s">
        <v>421</v>
      </c>
      <c r="G242" s="73" t="str">
        <f t="shared" si="3"/>
        <v>below</v>
      </c>
      <c r="H242" s="69">
        <v>0</v>
      </c>
      <c r="I242" s="69">
        <v>0.05</v>
      </c>
      <c r="J242" s="69">
        <v>0</v>
      </c>
      <c r="K242" s="69">
        <v>0</v>
      </c>
      <c r="L242" s="69">
        <v>6.0000000000000001E-3</v>
      </c>
      <c r="M242" s="69">
        <v>0.159</v>
      </c>
      <c r="N242" s="69">
        <v>0.16400000000000001</v>
      </c>
      <c r="O242" s="69">
        <v>0</v>
      </c>
      <c r="P242" s="69">
        <v>0</v>
      </c>
      <c r="Q242" s="69">
        <v>0</v>
      </c>
      <c r="R242" s="69">
        <v>0</v>
      </c>
      <c r="S242" s="69">
        <v>0</v>
      </c>
      <c r="T242" s="69">
        <v>0</v>
      </c>
      <c r="U242" s="69">
        <v>7.0000000000000001E-3</v>
      </c>
      <c r="V242" s="69">
        <v>0</v>
      </c>
      <c r="W242" s="71">
        <v>2.5733333000000001E-2</v>
      </c>
      <c r="X242" s="71">
        <v>1.4610651000000001E-2</v>
      </c>
      <c r="Y242" s="69">
        <v>15</v>
      </c>
      <c r="Z242" s="71">
        <v>0.64333333299999995</v>
      </c>
      <c r="AA242" s="71">
        <v>0.36526626499999998</v>
      </c>
    </row>
    <row r="243" spans="1:27">
      <c r="A243" s="72">
        <v>41122</v>
      </c>
      <c r="B243" t="s">
        <v>387</v>
      </c>
      <c r="C243" s="69" t="s">
        <v>434</v>
      </c>
      <c r="D243" s="69" t="s">
        <v>425</v>
      </c>
      <c r="E243" s="69" t="s">
        <v>426</v>
      </c>
      <c r="F243" s="69" t="s">
        <v>427</v>
      </c>
      <c r="G243" s="73" t="str">
        <f t="shared" si="3"/>
        <v/>
      </c>
      <c r="H243" s="69">
        <v>0</v>
      </c>
      <c r="I243" s="69">
        <v>0</v>
      </c>
      <c r="J243" s="69">
        <v>0</v>
      </c>
      <c r="K243" s="69">
        <v>2E-3</v>
      </c>
      <c r="L243" s="69">
        <v>0</v>
      </c>
      <c r="M243" s="69">
        <v>3.1E-2</v>
      </c>
      <c r="N243" s="69">
        <v>0</v>
      </c>
      <c r="O243" s="69">
        <v>0.63600000000000001</v>
      </c>
      <c r="P243" s="69">
        <v>0</v>
      </c>
      <c r="Q243" s="69">
        <v>0</v>
      </c>
      <c r="R243" s="69">
        <v>0</v>
      </c>
      <c r="S243" s="69">
        <v>0.44</v>
      </c>
      <c r="T243" s="69">
        <v>0</v>
      </c>
      <c r="U243" s="69">
        <v>1.7609999999999999</v>
      </c>
      <c r="V243" s="69">
        <v>0</v>
      </c>
      <c r="W243" s="71">
        <v>0.19133333299999999</v>
      </c>
      <c r="X243" s="71">
        <v>0.12249500200000001</v>
      </c>
      <c r="Y243" s="69">
        <v>15</v>
      </c>
      <c r="Z243" s="71">
        <v>4.7833333329999999</v>
      </c>
      <c r="AA243" s="71">
        <v>3.0623750379999999</v>
      </c>
    </row>
    <row r="244" spans="1:27">
      <c r="A244" s="72">
        <v>41122</v>
      </c>
      <c r="B244" t="s">
        <v>387</v>
      </c>
      <c r="C244" s="69" t="s">
        <v>434</v>
      </c>
      <c r="D244" s="69" t="s">
        <v>425</v>
      </c>
      <c r="E244" s="69" t="s">
        <v>428</v>
      </c>
      <c r="F244" s="69" t="s">
        <v>427</v>
      </c>
      <c r="G244" s="73" t="str">
        <f t="shared" si="3"/>
        <v/>
      </c>
      <c r="H244" s="69">
        <v>1.296</v>
      </c>
      <c r="I244" s="69">
        <v>0.33600000000000002</v>
      </c>
      <c r="J244" s="69">
        <v>1.68</v>
      </c>
      <c r="K244" s="69">
        <v>3.431</v>
      </c>
      <c r="L244" s="69">
        <v>0.61099999999999999</v>
      </c>
      <c r="M244" s="69">
        <v>1.3919999999999999</v>
      </c>
      <c r="N244" s="69">
        <v>1.345</v>
      </c>
      <c r="O244" s="69">
        <v>0</v>
      </c>
      <c r="P244" s="69">
        <v>0.54200000000000004</v>
      </c>
      <c r="Q244" s="69">
        <v>0.19900000000000001</v>
      </c>
      <c r="R244" s="69">
        <v>9.2999999999999999E-2</v>
      </c>
      <c r="S244" s="69">
        <v>0.54700000000000004</v>
      </c>
      <c r="T244" s="69">
        <v>0.51300000000000001</v>
      </c>
      <c r="U244" s="69">
        <v>0.68200000000000005</v>
      </c>
      <c r="V244" s="69">
        <v>0.19500000000000001</v>
      </c>
      <c r="W244" s="71">
        <v>0.85746666699999996</v>
      </c>
      <c r="X244" s="71">
        <v>0.227674452</v>
      </c>
      <c r="Y244" s="69">
        <v>15</v>
      </c>
      <c r="Z244" s="71">
        <v>21.436666670000001</v>
      </c>
      <c r="AA244" s="71">
        <v>5.6918612880000001</v>
      </c>
    </row>
    <row r="245" spans="1:27">
      <c r="A245" s="72">
        <v>41122</v>
      </c>
      <c r="B245" t="s">
        <v>387</v>
      </c>
      <c r="C245" s="69" t="s">
        <v>434</v>
      </c>
      <c r="D245" s="69" t="s">
        <v>429</v>
      </c>
      <c r="E245" s="69" t="s">
        <v>430</v>
      </c>
      <c r="F245" s="69" t="s">
        <v>431</v>
      </c>
      <c r="G245" s="73" t="str">
        <f t="shared" si="3"/>
        <v>non-vascular</v>
      </c>
      <c r="H245" s="69">
        <v>0.158</v>
      </c>
      <c r="I245" s="69">
        <v>0.83299999999999996</v>
      </c>
      <c r="J245" s="69">
        <v>1.67</v>
      </c>
      <c r="K245" s="69">
        <v>0.622</v>
      </c>
      <c r="L245" s="69">
        <v>1.3240000000000001</v>
      </c>
      <c r="M245" s="69">
        <v>1E-3</v>
      </c>
      <c r="N245" s="69">
        <v>4.5999999999999999E-2</v>
      </c>
      <c r="O245" s="69">
        <v>0.28599999999999998</v>
      </c>
      <c r="P245" s="69">
        <v>1.298</v>
      </c>
      <c r="Q245" s="69">
        <v>6.2370000000000001</v>
      </c>
      <c r="R245" s="69">
        <v>0.27900000000000003</v>
      </c>
      <c r="S245" s="69">
        <v>9.7000000000000003E-2</v>
      </c>
      <c r="T245" s="69">
        <v>0.216</v>
      </c>
      <c r="U245" s="69">
        <v>0.76</v>
      </c>
      <c r="V245" s="69">
        <v>0.46200000000000002</v>
      </c>
      <c r="W245" s="71">
        <v>0.9526</v>
      </c>
      <c r="X245" s="71">
        <v>0.40017702999999999</v>
      </c>
      <c r="Y245" s="69">
        <v>15</v>
      </c>
      <c r="Z245" s="71">
        <v>23.815000000000001</v>
      </c>
      <c r="AA245" s="71">
        <v>10.004425749999999</v>
      </c>
    </row>
    <row r="246" spans="1:27">
      <c r="A246" s="72">
        <v>41122</v>
      </c>
      <c r="B246" t="s">
        <v>387</v>
      </c>
      <c r="C246" s="69" t="s">
        <v>437</v>
      </c>
      <c r="D246" s="69" t="s">
        <v>389</v>
      </c>
      <c r="E246" s="69" t="s">
        <v>390</v>
      </c>
      <c r="F246" s="69" t="s">
        <v>391</v>
      </c>
      <c r="G246" s="73" t="str">
        <f t="shared" si="3"/>
        <v>new above</v>
      </c>
      <c r="H246" s="69">
        <v>1.9450000000000001</v>
      </c>
      <c r="I246" s="69">
        <v>0.57799999999999996</v>
      </c>
      <c r="J246" s="69">
        <v>3.3540000000000001</v>
      </c>
      <c r="K246" s="69">
        <v>0.39900000000000002</v>
      </c>
      <c r="L246" s="69">
        <v>4.125</v>
      </c>
      <c r="M246" s="69">
        <v>0</v>
      </c>
      <c r="N246" s="69">
        <v>0.125</v>
      </c>
      <c r="O246" s="69">
        <v>0</v>
      </c>
      <c r="P246" s="69">
        <v>0.505</v>
      </c>
      <c r="Q246" s="69">
        <v>0.187</v>
      </c>
      <c r="R246" s="69">
        <v>1.6E-2</v>
      </c>
      <c r="S246" s="69">
        <v>0.158</v>
      </c>
      <c r="T246" s="69">
        <v>3.319</v>
      </c>
      <c r="U246" s="69">
        <v>0</v>
      </c>
      <c r="V246" s="69">
        <v>0</v>
      </c>
      <c r="W246" s="71">
        <v>0.98073333299999998</v>
      </c>
      <c r="X246" s="71">
        <v>0.374549144</v>
      </c>
      <c r="Y246" s="69">
        <v>15</v>
      </c>
      <c r="Z246" s="71">
        <v>24.518333330000001</v>
      </c>
      <c r="AA246" s="71">
        <v>9.3637286110000009</v>
      </c>
    </row>
    <row r="247" spans="1:27">
      <c r="A247" s="72">
        <v>41122</v>
      </c>
      <c r="B247" t="s">
        <v>387</v>
      </c>
      <c r="C247" s="69" t="s">
        <v>437</v>
      </c>
      <c r="D247" s="69" t="s">
        <v>389</v>
      </c>
      <c r="E247" s="69" t="s">
        <v>390</v>
      </c>
      <c r="F247" s="69" t="s">
        <v>392</v>
      </c>
      <c r="G247" s="73" t="str">
        <f t="shared" si="3"/>
        <v>new above</v>
      </c>
      <c r="H247" s="69">
        <v>1.67</v>
      </c>
      <c r="I247" s="69">
        <v>0.45500000000000002</v>
      </c>
      <c r="J247" s="69">
        <v>2.7519999999999998</v>
      </c>
      <c r="K247" s="69">
        <v>0.71199999999999997</v>
      </c>
      <c r="L247" s="69">
        <v>3.5070000000000001</v>
      </c>
      <c r="M247" s="69">
        <v>0</v>
      </c>
      <c r="N247" s="69">
        <v>8.5000000000000006E-2</v>
      </c>
      <c r="O247" s="69">
        <v>0</v>
      </c>
      <c r="P247" s="69">
        <v>0.46200000000000002</v>
      </c>
      <c r="Q247" s="69">
        <v>0.125</v>
      </c>
      <c r="R247" s="69">
        <v>0</v>
      </c>
      <c r="S247" s="69">
        <v>4.9000000000000002E-2</v>
      </c>
      <c r="T247" s="69">
        <v>1.9059999999999999</v>
      </c>
      <c r="U247" s="69">
        <v>0</v>
      </c>
      <c r="V247" s="69">
        <v>0</v>
      </c>
      <c r="W247" s="71">
        <v>0.78153333300000005</v>
      </c>
      <c r="X247" s="71">
        <v>0.29346077599999998</v>
      </c>
      <c r="Y247" s="69">
        <v>15</v>
      </c>
      <c r="Z247" s="71">
        <v>19.53833333</v>
      </c>
      <c r="AA247" s="71">
        <v>7.3365194110000003</v>
      </c>
    </row>
    <row r="248" spans="1:27">
      <c r="A248" s="72">
        <v>41122</v>
      </c>
      <c r="B248" t="s">
        <v>387</v>
      </c>
      <c r="C248" s="69" t="s">
        <v>437</v>
      </c>
      <c r="D248" s="69" t="s">
        <v>389</v>
      </c>
      <c r="E248" s="69" t="s">
        <v>390</v>
      </c>
      <c r="F248" s="69" t="s">
        <v>393</v>
      </c>
      <c r="G248" s="73" t="str">
        <f t="shared" si="3"/>
        <v>new above</v>
      </c>
      <c r="H248" s="69">
        <v>0</v>
      </c>
      <c r="I248" s="69">
        <v>0</v>
      </c>
      <c r="J248" s="69">
        <v>0</v>
      </c>
      <c r="K248" s="69">
        <v>0</v>
      </c>
      <c r="L248" s="69">
        <v>0</v>
      </c>
      <c r="M248" s="69">
        <v>0</v>
      </c>
      <c r="N248" s="69">
        <v>0</v>
      </c>
      <c r="O248" s="69">
        <v>0</v>
      </c>
      <c r="P248" s="69">
        <v>0</v>
      </c>
      <c r="Q248" s="69">
        <v>0</v>
      </c>
      <c r="R248" s="69">
        <v>0</v>
      </c>
      <c r="S248" s="69">
        <v>0</v>
      </c>
      <c r="T248" s="69">
        <v>0</v>
      </c>
      <c r="U248" s="69">
        <v>0</v>
      </c>
      <c r="V248" s="69">
        <v>0</v>
      </c>
      <c r="W248" s="71">
        <v>0</v>
      </c>
      <c r="X248" s="71">
        <v>0</v>
      </c>
      <c r="Y248" s="69">
        <v>15</v>
      </c>
      <c r="Z248" s="71">
        <v>0</v>
      </c>
      <c r="AA248" s="71">
        <v>0</v>
      </c>
    </row>
    <row r="249" spans="1:27">
      <c r="A249" s="72">
        <v>41122</v>
      </c>
      <c r="B249" t="s">
        <v>387</v>
      </c>
      <c r="C249" s="69" t="s">
        <v>437</v>
      </c>
      <c r="D249" s="69" t="s">
        <v>389</v>
      </c>
      <c r="E249" s="69" t="s">
        <v>390</v>
      </c>
      <c r="F249" s="69" t="s">
        <v>394</v>
      </c>
      <c r="G249" s="73" t="str">
        <f t="shared" si="3"/>
        <v>below</v>
      </c>
      <c r="H249" s="69">
        <v>2.7040000000000002</v>
      </c>
      <c r="I249" s="69">
        <v>1.88</v>
      </c>
      <c r="J249" s="69">
        <v>5.9059999999999997</v>
      </c>
      <c r="K249" s="69">
        <v>2.0529999999999999</v>
      </c>
      <c r="L249" s="69">
        <v>8.1059999999999999</v>
      </c>
      <c r="M249" s="69">
        <v>0</v>
      </c>
      <c r="N249" s="69">
        <v>0.17799999999999999</v>
      </c>
      <c r="O249" s="69">
        <v>0</v>
      </c>
      <c r="P249" s="69">
        <v>1.776</v>
      </c>
      <c r="Q249" s="69">
        <v>1.7150000000000001</v>
      </c>
      <c r="R249" s="69">
        <v>0.129</v>
      </c>
      <c r="S249" s="69">
        <v>0.73299999999999998</v>
      </c>
      <c r="T249" s="69">
        <v>5.6760000000000002</v>
      </c>
      <c r="U249" s="69">
        <v>1.3420000000000001</v>
      </c>
      <c r="V249" s="69">
        <v>0</v>
      </c>
      <c r="W249" s="71">
        <v>2.1465333329999998</v>
      </c>
      <c r="X249" s="71">
        <v>0.64451447900000003</v>
      </c>
      <c r="Y249" s="69">
        <v>15</v>
      </c>
      <c r="Z249" s="71">
        <v>53.66333333</v>
      </c>
      <c r="AA249" s="71">
        <v>16.11286196</v>
      </c>
    </row>
    <row r="250" spans="1:27">
      <c r="A250" s="72">
        <v>41122</v>
      </c>
      <c r="B250" t="s">
        <v>387</v>
      </c>
      <c r="C250" s="69" t="s">
        <v>437</v>
      </c>
      <c r="D250" s="69" t="s">
        <v>389</v>
      </c>
      <c r="E250" s="69" t="s">
        <v>390</v>
      </c>
      <c r="F250" s="69" t="s">
        <v>395</v>
      </c>
      <c r="G250" s="73" t="str">
        <f t="shared" si="3"/>
        <v>litter</v>
      </c>
      <c r="H250" s="69">
        <v>23.882000000000001</v>
      </c>
      <c r="I250" s="69">
        <v>4.8929999999999998</v>
      </c>
      <c r="J250" s="69">
        <v>21.327999999999999</v>
      </c>
      <c r="K250" s="69">
        <v>5.8049999999999997</v>
      </c>
      <c r="L250" s="69">
        <v>18.908000000000001</v>
      </c>
      <c r="M250" s="69">
        <v>0</v>
      </c>
      <c r="N250" s="69">
        <v>0.46400000000000002</v>
      </c>
      <c r="O250" s="69">
        <v>0</v>
      </c>
      <c r="P250" s="69">
        <v>10.076000000000001</v>
      </c>
      <c r="Q250" s="69">
        <v>3.5419999999999998</v>
      </c>
      <c r="R250" s="69">
        <v>0</v>
      </c>
      <c r="S250" s="69">
        <v>3.427</v>
      </c>
      <c r="T250" s="69">
        <v>7.1319999999999997</v>
      </c>
      <c r="U250" s="69">
        <v>0</v>
      </c>
      <c r="V250" s="69">
        <v>0</v>
      </c>
      <c r="W250" s="71">
        <v>6.6304666670000003</v>
      </c>
      <c r="X250" s="71">
        <v>2.1356784489999998</v>
      </c>
      <c r="Y250" s="69">
        <v>15</v>
      </c>
      <c r="Z250" s="71">
        <v>165.76166670000001</v>
      </c>
      <c r="AA250" s="71">
        <v>53.391961219999999</v>
      </c>
    </row>
    <row r="251" spans="1:27">
      <c r="A251" s="72">
        <v>41122</v>
      </c>
      <c r="B251" t="s">
        <v>387</v>
      </c>
      <c r="C251" s="69" t="s">
        <v>437</v>
      </c>
      <c r="D251" s="69" t="s">
        <v>389</v>
      </c>
      <c r="E251" s="69" t="s">
        <v>390</v>
      </c>
      <c r="F251" s="69" t="s">
        <v>396</v>
      </c>
      <c r="G251" s="73" t="str">
        <f t="shared" si="3"/>
        <v>new above</v>
      </c>
      <c r="H251" s="69">
        <v>0.308</v>
      </c>
      <c r="I251" s="69">
        <v>0</v>
      </c>
      <c r="J251" s="69">
        <v>0.22700000000000001</v>
      </c>
      <c r="K251" s="69">
        <v>0</v>
      </c>
      <c r="L251" s="69">
        <v>0</v>
      </c>
      <c r="M251" s="69">
        <v>0</v>
      </c>
      <c r="N251" s="69">
        <v>0</v>
      </c>
      <c r="O251" s="69">
        <v>0</v>
      </c>
      <c r="P251" s="69">
        <v>0</v>
      </c>
      <c r="Q251" s="69">
        <v>0</v>
      </c>
      <c r="R251" s="69">
        <v>0</v>
      </c>
      <c r="S251" s="69">
        <v>0</v>
      </c>
      <c r="T251" s="69">
        <v>7.2999999999999995E-2</v>
      </c>
      <c r="U251" s="69">
        <v>0</v>
      </c>
      <c r="V251" s="69">
        <v>0</v>
      </c>
      <c r="W251" s="71">
        <v>4.0533332999999998E-2</v>
      </c>
      <c r="X251" s="71">
        <v>2.4599432000000001E-2</v>
      </c>
      <c r="Y251" s="69">
        <v>15</v>
      </c>
      <c r="Z251" s="71">
        <v>1.0133333330000001</v>
      </c>
      <c r="AA251" s="71">
        <v>0.61498580400000002</v>
      </c>
    </row>
    <row r="252" spans="1:27">
      <c r="A252" s="72">
        <v>41122</v>
      </c>
      <c r="B252" t="s">
        <v>387</v>
      </c>
      <c r="C252" s="69" t="s">
        <v>437</v>
      </c>
      <c r="D252" s="69" t="s">
        <v>389</v>
      </c>
      <c r="E252" s="69" t="s">
        <v>397</v>
      </c>
      <c r="F252" s="69" t="s">
        <v>391</v>
      </c>
      <c r="G252" s="73" t="str">
        <f t="shared" si="3"/>
        <v>new above</v>
      </c>
      <c r="H252" s="69">
        <v>1.3149999999999999</v>
      </c>
      <c r="I252" s="69">
        <v>0</v>
      </c>
      <c r="J252" s="69">
        <v>0</v>
      </c>
      <c r="K252" s="69">
        <v>0</v>
      </c>
      <c r="L252" s="69">
        <v>0</v>
      </c>
      <c r="M252" s="69">
        <v>0</v>
      </c>
      <c r="N252" s="69">
        <v>5.8000000000000003E-2</v>
      </c>
      <c r="O252" s="69">
        <v>0.44400000000000001</v>
      </c>
      <c r="P252" s="69">
        <v>2.5000000000000001E-2</v>
      </c>
      <c r="Q252" s="69">
        <v>0</v>
      </c>
      <c r="R252" s="69">
        <v>0</v>
      </c>
      <c r="S252" s="69">
        <v>0</v>
      </c>
      <c r="T252" s="69">
        <v>0</v>
      </c>
      <c r="U252" s="69">
        <v>0</v>
      </c>
      <c r="V252" s="69">
        <v>0</v>
      </c>
      <c r="W252" s="71">
        <v>0.12280000000000001</v>
      </c>
      <c r="X252" s="71">
        <v>9.0083358000000002E-2</v>
      </c>
      <c r="Y252" s="69">
        <v>15</v>
      </c>
      <c r="Z252" s="71">
        <v>3.07</v>
      </c>
      <c r="AA252" s="71">
        <v>2.2520839559999999</v>
      </c>
    </row>
    <row r="253" spans="1:27">
      <c r="A253" s="72">
        <v>41122</v>
      </c>
      <c r="B253" t="s">
        <v>387</v>
      </c>
      <c r="C253" s="69" t="s">
        <v>437</v>
      </c>
      <c r="D253" s="69" t="s">
        <v>389</v>
      </c>
      <c r="E253" s="69" t="s">
        <v>397</v>
      </c>
      <c r="F253" s="69" t="s">
        <v>392</v>
      </c>
      <c r="G253" s="73" t="str">
        <f t="shared" si="3"/>
        <v>new above</v>
      </c>
      <c r="H253" s="69">
        <v>0.55500000000000005</v>
      </c>
      <c r="I253" s="69">
        <v>0</v>
      </c>
      <c r="J253" s="69">
        <v>0</v>
      </c>
      <c r="K253" s="69">
        <v>0</v>
      </c>
      <c r="L253" s="69">
        <v>0</v>
      </c>
      <c r="M253" s="69">
        <v>0</v>
      </c>
      <c r="N253" s="69">
        <v>0.34399999999999997</v>
      </c>
      <c r="O253" s="69">
        <v>0.28699999999999998</v>
      </c>
      <c r="P253" s="69">
        <v>1.4999999999999999E-2</v>
      </c>
      <c r="Q253" s="69">
        <v>0</v>
      </c>
      <c r="R253" s="69">
        <v>0</v>
      </c>
      <c r="S253" s="69">
        <v>0</v>
      </c>
      <c r="T253" s="69">
        <v>0</v>
      </c>
      <c r="U253" s="69">
        <v>0</v>
      </c>
      <c r="V253" s="69">
        <v>0</v>
      </c>
      <c r="W253" s="71">
        <v>8.0066666999999994E-2</v>
      </c>
      <c r="X253" s="71">
        <v>4.4336104000000001E-2</v>
      </c>
      <c r="Y253" s="69">
        <v>15</v>
      </c>
      <c r="Z253" s="71">
        <v>2.0016666669999998</v>
      </c>
      <c r="AA253" s="71">
        <v>1.1084026119999999</v>
      </c>
    </row>
    <row r="254" spans="1:27">
      <c r="A254" s="72">
        <v>41122</v>
      </c>
      <c r="B254" t="s">
        <v>387</v>
      </c>
      <c r="C254" s="69" t="s">
        <v>437</v>
      </c>
      <c r="D254" s="69" t="s">
        <v>389</v>
      </c>
      <c r="E254" s="69" t="s">
        <v>397</v>
      </c>
      <c r="F254" s="69" t="s">
        <v>393</v>
      </c>
      <c r="G254" s="73" t="str">
        <f t="shared" si="3"/>
        <v>new above</v>
      </c>
      <c r="H254" s="69">
        <v>6.9000000000000006E-2</v>
      </c>
      <c r="I254" s="69">
        <v>0</v>
      </c>
      <c r="J254" s="69">
        <v>0</v>
      </c>
      <c r="K254" s="69">
        <v>0</v>
      </c>
      <c r="L254" s="69">
        <v>0</v>
      </c>
      <c r="M254" s="69">
        <v>0</v>
      </c>
      <c r="N254" s="69">
        <v>0</v>
      </c>
      <c r="O254" s="69">
        <v>0</v>
      </c>
      <c r="P254" s="69">
        <v>0</v>
      </c>
      <c r="Q254" s="69">
        <v>0</v>
      </c>
      <c r="R254" s="69">
        <v>0</v>
      </c>
      <c r="S254" s="69">
        <v>0</v>
      </c>
      <c r="T254" s="69">
        <v>0</v>
      </c>
      <c r="U254" s="69">
        <v>0</v>
      </c>
      <c r="V254" s="69">
        <v>0</v>
      </c>
      <c r="W254" s="71">
        <v>4.5999999999999999E-3</v>
      </c>
      <c r="X254" s="71">
        <v>4.5999999999999999E-3</v>
      </c>
      <c r="Y254" s="69">
        <v>15</v>
      </c>
      <c r="Z254" s="71">
        <v>0.115</v>
      </c>
      <c r="AA254" s="71">
        <v>0.115</v>
      </c>
    </row>
    <row r="255" spans="1:27">
      <c r="A255" s="72">
        <v>41122</v>
      </c>
      <c r="B255" t="s">
        <v>387</v>
      </c>
      <c r="C255" s="69" t="s">
        <v>437</v>
      </c>
      <c r="D255" s="69" t="s">
        <v>389</v>
      </c>
      <c r="E255" s="69" t="s">
        <v>397</v>
      </c>
      <c r="F255" s="69" t="s">
        <v>394</v>
      </c>
      <c r="G255" s="73" t="str">
        <f t="shared" si="3"/>
        <v>below</v>
      </c>
      <c r="H255" s="69">
        <v>2.4209999999999998</v>
      </c>
      <c r="I255" s="69">
        <v>0.33</v>
      </c>
      <c r="J255" s="69">
        <v>0</v>
      </c>
      <c r="K255" s="69">
        <v>0</v>
      </c>
      <c r="L255" s="69">
        <v>0</v>
      </c>
      <c r="M255" s="69">
        <v>0.33800000000000002</v>
      </c>
      <c r="N255" s="69">
        <v>6.0579999999999998</v>
      </c>
      <c r="O255" s="69">
        <v>8.3309999999999995</v>
      </c>
      <c r="P255" s="69">
        <v>5.1999999999999998E-2</v>
      </c>
      <c r="Q255" s="69">
        <v>0</v>
      </c>
      <c r="R255" s="69">
        <v>0</v>
      </c>
      <c r="S255" s="69">
        <v>0</v>
      </c>
      <c r="T255" s="69">
        <v>0</v>
      </c>
      <c r="U255" s="69">
        <v>0</v>
      </c>
      <c r="V255" s="69">
        <v>0.19</v>
      </c>
      <c r="W255" s="71">
        <v>1.181333333</v>
      </c>
      <c r="X255" s="71">
        <v>0.65934631200000005</v>
      </c>
      <c r="Y255" s="69">
        <v>15</v>
      </c>
      <c r="Z255" s="71">
        <v>29.533333330000001</v>
      </c>
      <c r="AA255" s="71">
        <v>16.483657789999999</v>
      </c>
    </row>
    <row r="256" spans="1:27">
      <c r="A256" s="72">
        <v>41122</v>
      </c>
      <c r="B256" t="s">
        <v>387</v>
      </c>
      <c r="C256" s="69" t="s">
        <v>437</v>
      </c>
      <c r="D256" s="69" t="s">
        <v>389</v>
      </c>
      <c r="E256" s="69" t="s">
        <v>397</v>
      </c>
      <c r="F256" s="69" t="s">
        <v>395</v>
      </c>
      <c r="G256" s="73" t="str">
        <f t="shared" si="3"/>
        <v>litter</v>
      </c>
      <c r="H256" s="69">
        <v>3.617</v>
      </c>
      <c r="I256" s="69">
        <v>0</v>
      </c>
      <c r="J256" s="69">
        <v>0</v>
      </c>
      <c r="K256" s="69">
        <v>0</v>
      </c>
      <c r="L256" s="69">
        <v>0</v>
      </c>
      <c r="M256" s="69">
        <v>0</v>
      </c>
      <c r="N256" s="69">
        <v>4.9749999999999996</v>
      </c>
      <c r="O256" s="69">
        <v>1.2050000000000001</v>
      </c>
      <c r="P256" s="69">
        <v>0.11600000000000001</v>
      </c>
      <c r="Q256" s="69">
        <v>0</v>
      </c>
      <c r="R256" s="69">
        <v>0</v>
      </c>
      <c r="S256" s="69">
        <v>0</v>
      </c>
      <c r="T256" s="69">
        <v>0</v>
      </c>
      <c r="U256" s="69">
        <v>0</v>
      </c>
      <c r="V256" s="69">
        <v>0</v>
      </c>
      <c r="W256" s="71">
        <v>0.66086666699999996</v>
      </c>
      <c r="X256" s="71">
        <v>0.39489373900000002</v>
      </c>
      <c r="Y256" s="69">
        <v>15</v>
      </c>
      <c r="Z256" s="71">
        <v>16.521666669999998</v>
      </c>
      <c r="AA256" s="71">
        <v>9.8723434839999999</v>
      </c>
    </row>
    <row r="257" spans="1:27">
      <c r="A257" s="72">
        <v>41122</v>
      </c>
      <c r="B257" t="s">
        <v>387</v>
      </c>
      <c r="C257" s="69" t="s">
        <v>437</v>
      </c>
      <c r="D257" s="69" t="s">
        <v>389</v>
      </c>
      <c r="E257" s="69" t="s">
        <v>398</v>
      </c>
      <c r="F257" s="69" t="s">
        <v>391</v>
      </c>
      <c r="G257" s="73" t="str">
        <f t="shared" si="3"/>
        <v>new above</v>
      </c>
      <c r="H257" s="69">
        <v>0</v>
      </c>
      <c r="I257" s="69">
        <v>0</v>
      </c>
      <c r="J257" s="69">
        <v>0</v>
      </c>
      <c r="K257" s="69">
        <v>0</v>
      </c>
      <c r="L257" s="69">
        <v>0</v>
      </c>
      <c r="M257" s="69">
        <v>0</v>
      </c>
      <c r="N257" s="69">
        <v>0</v>
      </c>
      <c r="O257" s="69">
        <v>1.0900000000000001</v>
      </c>
      <c r="P257" s="69">
        <v>0.99</v>
      </c>
      <c r="Q257" s="69">
        <v>0.39300000000000002</v>
      </c>
      <c r="R257" s="69">
        <v>0</v>
      </c>
      <c r="S257" s="69">
        <v>0</v>
      </c>
      <c r="T257" s="69">
        <v>0</v>
      </c>
      <c r="U257" s="69">
        <v>0</v>
      </c>
      <c r="V257" s="69">
        <v>0</v>
      </c>
      <c r="W257" s="71">
        <v>0.16486666699999999</v>
      </c>
      <c r="X257" s="71">
        <v>9.5492051999999994E-2</v>
      </c>
      <c r="Y257" s="69">
        <v>15</v>
      </c>
      <c r="Z257" s="71">
        <v>4.1216666670000004</v>
      </c>
      <c r="AA257" s="71">
        <v>2.3873013090000001</v>
      </c>
    </row>
    <row r="258" spans="1:27">
      <c r="A258" s="72">
        <v>41122</v>
      </c>
      <c r="B258" t="s">
        <v>387</v>
      </c>
      <c r="C258" s="69" t="s">
        <v>437</v>
      </c>
      <c r="D258" s="69" t="s">
        <v>389</v>
      </c>
      <c r="E258" s="69" t="s">
        <v>398</v>
      </c>
      <c r="F258" s="69" t="s">
        <v>392</v>
      </c>
      <c r="G258" s="73" t="str">
        <f t="shared" si="3"/>
        <v>new above</v>
      </c>
      <c r="H258" s="69">
        <v>0</v>
      </c>
      <c r="I258" s="69">
        <v>0</v>
      </c>
      <c r="J258" s="69">
        <v>0</v>
      </c>
      <c r="K258" s="69">
        <v>0</v>
      </c>
      <c r="L258" s="69">
        <v>0</v>
      </c>
      <c r="M258" s="69">
        <v>0</v>
      </c>
      <c r="N258" s="69">
        <v>0</v>
      </c>
      <c r="O258" s="69">
        <v>0.183</v>
      </c>
      <c r="P258" s="69">
        <v>0.16400000000000001</v>
      </c>
      <c r="Q258" s="69">
        <v>0</v>
      </c>
      <c r="R258" s="69">
        <v>0</v>
      </c>
      <c r="S258" s="69">
        <v>0</v>
      </c>
      <c r="T258" s="69">
        <v>0</v>
      </c>
      <c r="U258" s="69">
        <v>0</v>
      </c>
      <c r="V258" s="69">
        <v>0</v>
      </c>
      <c r="W258" s="71">
        <v>2.3133332999999999E-2</v>
      </c>
      <c r="X258" s="71">
        <v>1.5789951E-2</v>
      </c>
      <c r="Y258" s="69">
        <v>15</v>
      </c>
      <c r="Z258" s="71">
        <v>0.578333333</v>
      </c>
      <c r="AA258" s="71">
        <v>0.394748765</v>
      </c>
    </row>
    <row r="259" spans="1:27">
      <c r="A259" s="72">
        <v>41122</v>
      </c>
      <c r="B259" t="s">
        <v>387</v>
      </c>
      <c r="C259" s="69" t="s">
        <v>437</v>
      </c>
      <c r="D259" s="69" t="s">
        <v>389</v>
      </c>
      <c r="E259" s="69" t="s">
        <v>398</v>
      </c>
      <c r="F259" s="69" t="s">
        <v>393</v>
      </c>
      <c r="G259" s="73" t="str">
        <f t="shared" ref="G259:G316" si="4">IF(OR(F259="blade",F259="sheath",F259="v1",F259="v0",F259="buds",F259="new buds",,F259="inflorescence",F259="inflor.",F259="inc. blade",F259="inc. sheath",F259="cys",F259="inflor/culm",F259="infl. bud",F259="inc. cys",F259="cys blade",F259="cys sheath",F259="sheath/culm",F259="new above",F259="new leaves",F259="new stems",F259="long leaf",F259="long stem",F259="short leaf",F259="short stem",F259="fruit"),"new above",IF(OR(F259="old stems",F259="old leaves",F259="old above",),"old above",IF(OR(F259="rhizome",F259="below",F259="below stems",F259="roots",),"below",IF(OR(F259="live",F259="live green"),"non-vascular",IF(OR(F259="standing dead",F259="litter"),"litter","")))))</f>
        <v>new above</v>
      </c>
      <c r="H259" s="69">
        <v>0</v>
      </c>
      <c r="I259" s="69">
        <v>0</v>
      </c>
      <c r="J259" s="69">
        <v>0</v>
      </c>
      <c r="K259" s="69">
        <v>0</v>
      </c>
      <c r="L259" s="69">
        <v>0</v>
      </c>
      <c r="M259" s="69">
        <v>0</v>
      </c>
      <c r="N259" s="69">
        <v>0</v>
      </c>
      <c r="O259" s="69">
        <v>0</v>
      </c>
      <c r="P259" s="69">
        <v>0</v>
      </c>
      <c r="Q259" s="69">
        <v>0</v>
      </c>
      <c r="R259" s="69">
        <v>0</v>
      </c>
      <c r="S259" s="69">
        <v>0</v>
      </c>
      <c r="T259" s="69">
        <v>0</v>
      </c>
      <c r="U259" s="69">
        <v>0</v>
      </c>
      <c r="V259" s="69">
        <v>0</v>
      </c>
      <c r="W259" s="71">
        <v>0</v>
      </c>
      <c r="X259" s="71">
        <v>0</v>
      </c>
      <c r="Y259" s="69">
        <v>15</v>
      </c>
      <c r="Z259" s="71">
        <v>0</v>
      </c>
      <c r="AA259" s="71">
        <v>0</v>
      </c>
    </row>
    <row r="260" spans="1:27">
      <c r="A260" s="72">
        <v>41122</v>
      </c>
      <c r="B260" t="s">
        <v>387</v>
      </c>
      <c r="C260" s="69" t="s">
        <v>437</v>
      </c>
      <c r="D260" s="69" t="s">
        <v>389</v>
      </c>
      <c r="E260" s="69" t="s">
        <v>398</v>
      </c>
      <c r="F260" s="69" t="s">
        <v>394</v>
      </c>
      <c r="G260" s="73" t="str">
        <f t="shared" si="4"/>
        <v>below</v>
      </c>
      <c r="H260" s="69">
        <v>0</v>
      </c>
      <c r="I260" s="69">
        <v>0</v>
      </c>
      <c r="J260" s="69">
        <v>0</v>
      </c>
      <c r="K260" s="69">
        <v>0</v>
      </c>
      <c r="L260" s="69">
        <v>0</v>
      </c>
      <c r="M260" s="69">
        <v>0</v>
      </c>
      <c r="N260" s="69">
        <v>0</v>
      </c>
      <c r="O260" s="69">
        <v>1.472</v>
      </c>
      <c r="P260" s="69">
        <v>3.05</v>
      </c>
      <c r="Q260" s="69">
        <v>0.54900000000000004</v>
      </c>
      <c r="R260" s="69">
        <v>0</v>
      </c>
      <c r="S260" s="69">
        <v>0</v>
      </c>
      <c r="T260" s="69">
        <v>0</v>
      </c>
      <c r="U260" s="69">
        <v>0</v>
      </c>
      <c r="V260" s="69">
        <v>0</v>
      </c>
      <c r="W260" s="71">
        <v>0.33806666699999999</v>
      </c>
      <c r="X260" s="71">
        <v>0.218831844</v>
      </c>
      <c r="Y260" s="69">
        <v>15</v>
      </c>
      <c r="Z260" s="71">
        <v>8.4516666669999996</v>
      </c>
      <c r="AA260" s="71">
        <v>5.4707960959999999</v>
      </c>
    </row>
    <row r="261" spans="1:27">
      <c r="A261" s="72">
        <v>41122</v>
      </c>
      <c r="B261" t="s">
        <v>387</v>
      </c>
      <c r="C261" s="69" t="s">
        <v>437</v>
      </c>
      <c r="D261" s="69" t="s">
        <v>389</v>
      </c>
      <c r="E261" s="69" t="s">
        <v>398</v>
      </c>
      <c r="F261" s="69" t="s">
        <v>395</v>
      </c>
      <c r="G261" s="73" t="str">
        <f t="shared" si="4"/>
        <v>litter</v>
      </c>
      <c r="H261" s="69">
        <v>0</v>
      </c>
      <c r="I261" s="69">
        <v>0</v>
      </c>
      <c r="J261" s="69">
        <v>0</v>
      </c>
      <c r="K261" s="69">
        <v>0</v>
      </c>
      <c r="L261" s="69">
        <v>0</v>
      </c>
      <c r="M261" s="69">
        <v>0</v>
      </c>
      <c r="N261" s="69">
        <v>0</v>
      </c>
      <c r="O261" s="69">
        <v>1.028</v>
      </c>
      <c r="P261" s="69">
        <v>2.9</v>
      </c>
      <c r="Q261" s="69">
        <v>1.226</v>
      </c>
      <c r="R261" s="69">
        <v>0</v>
      </c>
      <c r="S261" s="69">
        <v>0</v>
      </c>
      <c r="T261" s="69">
        <v>0</v>
      </c>
      <c r="U261" s="69">
        <v>0</v>
      </c>
      <c r="V261" s="69">
        <v>0</v>
      </c>
      <c r="W261" s="71">
        <v>0.34360000000000002</v>
      </c>
      <c r="X261" s="71">
        <v>0.20929525299999999</v>
      </c>
      <c r="Y261" s="69">
        <v>15</v>
      </c>
      <c r="Z261" s="71">
        <v>8.59</v>
      </c>
      <c r="AA261" s="71">
        <v>5.2323813210000001</v>
      </c>
    </row>
    <row r="262" spans="1:27">
      <c r="A262" s="72">
        <v>41122</v>
      </c>
      <c r="B262" t="s">
        <v>387</v>
      </c>
      <c r="C262" s="69" t="s">
        <v>437</v>
      </c>
      <c r="D262" s="69" t="s">
        <v>389</v>
      </c>
      <c r="E262" s="69" t="s">
        <v>433</v>
      </c>
      <c r="F262" s="69" t="s">
        <v>391</v>
      </c>
      <c r="G262" s="73" t="str">
        <f t="shared" si="4"/>
        <v>new above</v>
      </c>
      <c r="H262" s="69">
        <v>0</v>
      </c>
      <c r="I262" s="69">
        <v>0</v>
      </c>
      <c r="J262" s="69">
        <v>0</v>
      </c>
      <c r="K262" s="69">
        <v>0.63900000000000001</v>
      </c>
      <c r="L262" s="69">
        <v>0</v>
      </c>
      <c r="M262" s="69">
        <v>0.51200000000000001</v>
      </c>
      <c r="N262" s="69">
        <v>1.137</v>
      </c>
      <c r="O262" s="69">
        <v>0</v>
      </c>
      <c r="P262" s="69">
        <v>0</v>
      </c>
      <c r="Q262" s="69">
        <v>0</v>
      </c>
      <c r="R262" s="69">
        <v>0</v>
      </c>
      <c r="S262" s="69">
        <v>0</v>
      </c>
      <c r="T262" s="69">
        <v>0</v>
      </c>
      <c r="U262" s="69">
        <v>0</v>
      </c>
      <c r="V262" s="69">
        <v>0</v>
      </c>
      <c r="W262" s="71">
        <v>0.15253333299999999</v>
      </c>
      <c r="X262" s="71">
        <v>8.7674662E-2</v>
      </c>
      <c r="Y262" s="69">
        <v>15</v>
      </c>
      <c r="Z262" s="71">
        <v>3.8133333330000001</v>
      </c>
      <c r="AA262" s="71">
        <v>2.1918665490000002</v>
      </c>
    </row>
    <row r="263" spans="1:27">
      <c r="A263" s="72">
        <v>41122</v>
      </c>
      <c r="B263" t="s">
        <v>387</v>
      </c>
      <c r="C263" s="69" t="s">
        <v>437</v>
      </c>
      <c r="D263" s="69" t="s">
        <v>389</v>
      </c>
      <c r="E263" s="69" t="s">
        <v>433</v>
      </c>
      <c r="F263" s="69" t="s">
        <v>392</v>
      </c>
      <c r="G263" s="73" t="str">
        <f t="shared" si="4"/>
        <v>new above</v>
      </c>
      <c r="H263" s="69">
        <v>0</v>
      </c>
      <c r="I263" s="69">
        <v>0</v>
      </c>
      <c r="J263" s="69">
        <v>0</v>
      </c>
      <c r="K263" s="69">
        <v>0.108</v>
      </c>
      <c r="L263" s="69">
        <v>0</v>
      </c>
      <c r="M263" s="69">
        <v>0.24099999999999999</v>
      </c>
      <c r="N263" s="69">
        <v>0.08</v>
      </c>
      <c r="O263" s="69">
        <v>0</v>
      </c>
      <c r="P263" s="69">
        <v>0</v>
      </c>
      <c r="Q263" s="69">
        <v>0</v>
      </c>
      <c r="R263" s="69">
        <v>0</v>
      </c>
      <c r="S263" s="69">
        <v>0</v>
      </c>
      <c r="T263" s="69">
        <v>0</v>
      </c>
      <c r="U263" s="69">
        <v>0</v>
      </c>
      <c r="V263" s="69">
        <v>0</v>
      </c>
      <c r="W263" s="71">
        <v>2.86E-2</v>
      </c>
      <c r="X263" s="71">
        <v>1.7440456999999999E-2</v>
      </c>
      <c r="Y263" s="69">
        <v>15</v>
      </c>
      <c r="Z263" s="71">
        <v>0.71499999999999997</v>
      </c>
      <c r="AA263" s="71">
        <v>0.43601141300000001</v>
      </c>
    </row>
    <row r="264" spans="1:27">
      <c r="A264" s="72">
        <v>41122</v>
      </c>
      <c r="B264" t="s">
        <v>387</v>
      </c>
      <c r="C264" s="69" t="s">
        <v>437</v>
      </c>
      <c r="D264" s="69" t="s">
        <v>389</v>
      </c>
      <c r="E264" s="69" t="s">
        <v>433</v>
      </c>
      <c r="F264" s="69" t="s">
        <v>393</v>
      </c>
      <c r="G264" s="73" t="str">
        <f t="shared" si="4"/>
        <v>new above</v>
      </c>
      <c r="H264" s="69">
        <v>0</v>
      </c>
      <c r="I264" s="69">
        <v>0</v>
      </c>
      <c r="J264" s="69">
        <v>0</v>
      </c>
      <c r="K264" s="69">
        <v>0</v>
      </c>
      <c r="L264" s="69">
        <v>0</v>
      </c>
      <c r="M264" s="69">
        <v>0</v>
      </c>
      <c r="N264" s="69">
        <v>0</v>
      </c>
      <c r="O264" s="69">
        <v>0</v>
      </c>
      <c r="P264" s="69">
        <v>0</v>
      </c>
      <c r="Q264" s="69">
        <v>0</v>
      </c>
      <c r="R264" s="69">
        <v>0</v>
      </c>
      <c r="S264" s="69">
        <v>0</v>
      </c>
      <c r="T264" s="69">
        <v>0</v>
      </c>
      <c r="U264" s="69">
        <v>0</v>
      </c>
      <c r="V264" s="69">
        <v>0</v>
      </c>
      <c r="W264" s="71">
        <v>0</v>
      </c>
      <c r="X264" s="71">
        <v>0</v>
      </c>
      <c r="Y264" s="69">
        <v>15</v>
      </c>
      <c r="Z264" s="71">
        <v>0</v>
      </c>
      <c r="AA264" s="71">
        <v>0</v>
      </c>
    </row>
    <row r="265" spans="1:27">
      <c r="A265" s="72">
        <v>41122</v>
      </c>
      <c r="B265" t="s">
        <v>387</v>
      </c>
      <c r="C265" s="69" t="s">
        <v>437</v>
      </c>
      <c r="D265" s="69" t="s">
        <v>389</v>
      </c>
      <c r="E265" s="69" t="s">
        <v>433</v>
      </c>
      <c r="F265" s="69" t="s">
        <v>394</v>
      </c>
      <c r="G265" s="73" t="str">
        <f t="shared" si="4"/>
        <v>below</v>
      </c>
      <c r="H265" s="69">
        <v>0</v>
      </c>
      <c r="I265" s="69">
        <v>0</v>
      </c>
      <c r="J265" s="69">
        <v>0</v>
      </c>
      <c r="K265" s="69">
        <v>6.7000000000000004E-2</v>
      </c>
      <c r="L265" s="69">
        <v>0</v>
      </c>
      <c r="M265" s="69">
        <v>2.5000000000000001E-2</v>
      </c>
      <c r="N265" s="69">
        <v>0.23400000000000001</v>
      </c>
      <c r="O265" s="69">
        <v>0</v>
      </c>
      <c r="P265" s="69">
        <v>0</v>
      </c>
      <c r="Q265" s="69">
        <v>0</v>
      </c>
      <c r="R265" s="69">
        <v>0</v>
      </c>
      <c r="S265" s="69">
        <v>0</v>
      </c>
      <c r="T265" s="69">
        <v>0</v>
      </c>
      <c r="U265" s="69">
        <v>0</v>
      </c>
      <c r="V265" s="69">
        <v>0</v>
      </c>
      <c r="W265" s="71">
        <v>2.1733333000000001E-2</v>
      </c>
      <c r="X265" s="71">
        <v>1.5854237E-2</v>
      </c>
      <c r="Y265" s="69">
        <v>15</v>
      </c>
      <c r="Z265" s="71">
        <v>0.54333333299999997</v>
      </c>
      <c r="AA265" s="71">
        <v>0.396355921</v>
      </c>
    </row>
    <row r="266" spans="1:27">
      <c r="A266" s="72">
        <v>41122</v>
      </c>
      <c r="B266" t="s">
        <v>387</v>
      </c>
      <c r="C266" s="69" t="s">
        <v>437</v>
      </c>
      <c r="D266" s="69" t="s">
        <v>389</v>
      </c>
      <c r="E266" s="69" t="s">
        <v>433</v>
      </c>
      <c r="F266" s="69" t="s">
        <v>395</v>
      </c>
      <c r="G266" s="73" t="str">
        <f t="shared" si="4"/>
        <v>litter</v>
      </c>
      <c r="H266" s="69">
        <v>0</v>
      </c>
      <c r="I266" s="69">
        <v>0</v>
      </c>
      <c r="J266" s="69">
        <v>0</v>
      </c>
      <c r="K266" s="69">
        <v>0.159</v>
      </c>
      <c r="L266" s="69">
        <v>0</v>
      </c>
      <c r="M266" s="69">
        <v>1.7230000000000001</v>
      </c>
      <c r="N266" s="69">
        <v>0.77</v>
      </c>
      <c r="O266" s="69">
        <v>0</v>
      </c>
      <c r="P266" s="69">
        <v>0</v>
      </c>
      <c r="Q266" s="69">
        <v>0</v>
      </c>
      <c r="R266" s="69">
        <v>0</v>
      </c>
      <c r="S266" s="69">
        <v>0</v>
      </c>
      <c r="T266" s="69">
        <v>0</v>
      </c>
      <c r="U266" s="69">
        <v>0</v>
      </c>
      <c r="V266" s="69">
        <v>0</v>
      </c>
      <c r="W266" s="71">
        <v>0.17680000000000001</v>
      </c>
      <c r="X266" s="71">
        <v>0.12185151800000001</v>
      </c>
      <c r="Y266" s="69">
        <v>15</v>
      </c>
      <c r="Z266" s="71">
        <v>4.42</v>
      </c>
      <c r="AA266" s="71">
        <v>3.0462879439999999</v>
      </c>
    </row>
    <row r="267" spans="1:27">
      <c r="A267" s="72">
        <v>41122</v>
      </c>
      <c r="B267" t="s">
        <v>387</v>
      </c>
      <c r="C267" s="69" t="s">
        <v>437</v>
      </c>
      <c r="D267" s="69" t="s">
        <v>400</v>
      </c>
      <c r="E267" s="69" t="s">
        <v>401</v>
      </c>
      <c r="F267" s="69" t="s">
        <v>402</v>
      </c>
      <c r="G267" s="73" t="str">
        <f t="shared" si="4"/>
        <v>new above</v>
      </c>
      <c r="H267" s="69">
        <v>0.66700000000000004</v>
      </c>
      <c r="I267" s="69">
        <v>0.35899999999999999</v>
      </c>
      <c r="J267" s="69">
        <v>2.3769999999999998</v>
      </c>
      <c r="K267" s="69">
        <v>4.6980000000000004</v>
      </c>
      <c r="L267" s="69">
        <v>0.32700000000000001</v>
      </c>
      <c r="M267" s="69">
        <v>3.85</v>
      </c>
      <c r="N267" s="69">
        <v>5.319</v>
      </c>
      <c r="O267" s="69">
        <v>1.153</v>
      </c>
      <c r="P267" s="69">
        <v>1.379</v>
      </c>
      <c r="Q267" s="69">
        <v>0.89800000000000002</v>
      </c>
      <c r="R267" s="69">
        <v>1.7000000000000001E-2</v>
      </c>
      <c r="S267" s="69">
        <v>1.351</v>
      </c>
      <c r="T267" s="69">
        <v>3.177</v>
      </c>
      <c r="U267" s="69">
        <v>3.3769999999999998</v>
      </c>
      <c r="V267" s="69">
        <v>0.17899999999999999</v>
      </c>
      <c r="W267" s="71">
        <v>1.941866667</v>
      </c>
      <c r="X267" s="71">
        <v>0.44905214300000001</v>
      </c>
      <c r="Y267" s="69">
        <v>15</v>
      </c>
      <c r="Z267" s="71">
        <v>48.54666667</v>
      </c>
      <c r="AA267" s="71">
        <v>11.22630358</v>
      </c>
    </row>
    <row r="268" spans="1:27">
      <c r="A268" s="72">
        <v>41122</v>
      </c>
      <c r="B268" t="s">
        <v>387</v>
      </c>
      <c r="C268" s="69" t="s">
        <v>437</v>
      </c>
      <c r="D268" s="69" t="s">
        <v>400</v>
      </c>
      <c r="E268" s="69" t="s">
        <v>401</v>
      </c>
      <c r="F268" s="69" t="s">
        <v>403</v>
      </c>
      <c r="G268" s="73" t="str">
        <f t="shared" si="4"/>
        <v>new above</v>
      </c>
      <c r="H268" s="69">
        <v>0.14599999999999999</v>
      </c>
      <c r="I268" s="69">
        <v>0.14000000000000001</v>
      </c>
      <c r="J268" s="69">
        <v>0.748</v>
      </c>
      <c r="K268" s="69">
        <v>1.573</v>
      </c>
      <c r="L268" s="69">
        <v>4.3999999999999997E-2</v>
      </c>
      <c r="M268" s="69">
        <v>1.508</v>
      </c>
      <c r="N268" s="69">
        <v>2.1739999999999999</v>
      </c>
      <c r="O268" s="69">
        <v>0.308</v>
      </c>
      <c r="P268" s="69">
        <v>0.54100000000000004</v>
      </c>
      <c r="Q268" s="69">
        <v>0.152</v>
      </c>
      <c r="R268" s="69">
        <v>0.16400000000000001</v>
      </c>
      <c r="S268" s="69">
        <v>0.495</v>
      </c>
      <c r="T268" s="69">
        <v>0.41199999999999998</v>
      </c>
      <c r="U268" s="69" t="s">
        <v>436</v>
      </c>
      <c r="V268" s="69">
        <v>7.1999999999999995E-2</v>
      </c>
      <c r="W268" s="71">
        <v>0.60550000000000004</v>
      </c>
      <c r="X268" s="71">
        <v>0.17854262700000001</v>
      </c>
      <c r="Y268" s="69">
        <v>14</v>
      </c>
      <c r="Z268" s="71" t="s">
        <v>436</v>
      </c>
      <c r="AA268" s="71" t="s">
        <v>436</v>
      </c>
    </row>
    <row r="269" spans="1:27">
      <c r="A269" s="72">
        <v>41122</v>
      </c>
      <c r="B269" t="s">
        <v>387</v>
      </c>
      <c r="C269" s="69" t="s">
        <v>437</v>
      </c>
      <c r="D269" s="69" t="s">
        <v>400</v>
      </c>
      <c r="E269" s="69" t="s">
        <v>401</v>
      </c>
      <c r="F269" s="69" t="s">
        <v>404</v>
      </c>
      <c r="G269" s="73" t="str">
        <f t="shared" si="4"/>
        <v>old above</v>
      </c>
      <c r="H269" s="69">
        <v>1.901</v>
      </c>
      <c r="I269" s="69">
        <v>0.432</v>
      </c>
      <c r="J269" s="69">
        <v>4.1269999999999998</v>
      </c>
      <c r="K269" s="69">
        <v>10.084</v>
      </c>
      <c r="L269" s="69">
        <v>0.24399999999999999</v>
      </c>
      <c r="M269" s="69">
        <v>16.068000000000001</v>
      </c>
      <c r="N269" s="69">
        <v>20.242999999999999</v>
      </c>
      <c r="O269" s="69">
        <v>12.834</v>
      </c>
      <c r="P269" s="69">
        <v>1.3149999999999999</v>
      </c>
      <c r="Q269" s="69">
        <v>1.681</v>
      </c>
      <c r="R269" s="69">
        <v>0.82899999999999996</v>
      </c>
      <c r="S269" s="69">
        <v>2.1349999999999998</v>
      </c>
      <c r="T269" s="69">
        <v>9.1259999999999994</v>
      </c>
      <c r="U269" s="69">
        <v>12.058999999999999</v>
      </c>
      <c r="V269" s="69">
        <v>0.314</v>
      </c>
      <c r="W269" s="71">
        <v>6.2261333329999999</v>
      </c>
      <c r="X269" s="71">
        <v>1.707660242</v>
      </c>
      <c r="Y269" s="69">
        <v>15</v>
      </c>
      <c r="Z269" s="71">
        <v>155.65333330000001</v>
      </c>
      <c r="AA269" s="71">
        <v>42.691506060000002</v>
      </c>
    </row>
    <row r="270" spans="1:27">
      <c r="A270" s="72">
        <v>41122</v>
      </c>
      <c r="B270" t="s">
        <v>387</v>
      </c>
      <c r="C270" s="69" t="s">
        <v>437</v>
      </c>
      <c r="D270" s="69" t="s">
        <v>400</v>
      </c>
      <c r="E270" s="69" t="s">
        <v>401</v>
      </c>
      <c r="F270" s="69" t="s">
        <v>405</v>
      </c>
      <c r="G270" s="73" t="str">
        <f t="shared" si="4"/>
        <v>new above</v>
      </c>
      <c r="H270" s="69">
        <v>0</v>
      </c>
      <c r="I270" s="69">
        <v>0</v>
      </c>
      <c r="J270" s="69">
        <v>8.2000000000000003E-2</v>
      </c>
      <c r="K270" s="69">
        <v>0</v>
      </c>
      <c r="L270" s="69">
        <v>0</v>
      </c>
      <c r="M270" s="69">
        <v>0.22900000000000001</v>
      </c>
      <c r="N270" s="69">
        <v>0</v>
      </c>
      <c r="O270" s="69">
        <v>1.7000000000000001E-2</v>
      </c>
      <c r="P270" s="69">
        <v>0.17899999999999999</v>
      </c>
      <c r="Q270" s="69">
        <v>8.4000000000000005E-2</v>
      </c>
      <c r="R270" s="69">
        <v>0</v>
      </c>
      <c r="S270" s="69">
        <v>0</v>
      </c>
      <c r="T270" s="69">
        <v>0.14199999999999999</v>
      </c>
      <c r="U270" s="69">
        <v>7.1999999999999995E-2</v>
      </c>
      <c r="V270" s="69">
        <v>0</v>
      </c>
      <c r="W270" s="71">
        <v>5.3666667000000001E-2</v>
      </c>
      <c r="X270" s="71">
        <v>1.9602883000000002E-2</v>
      </c>
      <c r="Y270" s="69">
        <v>15</v>
      </c>
      <c r="Z270" s="71">
        <v>1.3416666669999999</v>
      </c>
      <c r="AA270" s="71">
        <v>0.490072071</v>
      </c>
    </row>
    <row r="271" spans="1:27">
      <c r="A271" s="72">
        <v>41122</v>
      </c>
      <c r="B271" t="s">
        <v>387</v>
      </c>
      <c r="C271" s="69" t="s">
        <v>437</v>
      </c>
      <c r="D271" s="69" t="s">
        <v>400</v>
      </c>
      <c r="E271" s="69" t="s">
        <v>401</v>
      </c>
      <c r="F271" s="69" t="s">
        <v>406</v>
      </c>
      <c r="G271" s="73" t="str">
        <f t="shared" si="4"/>
        <v>below</v>
      </c>
      <c r="H271" s="69">
        <v>1.43</v>
      </c>
      <c r="I271" s="69">
        <v>0</v>
      </c>
      <c r="J271" s="69">
        <v>0.69199999999999995</v>
      </c>
      <c r="K271" s="69">
        <v>19.867000000000001</v>
      </c>
      <c r="L271" s="69">
        <v>0</v>
      </c>
      <c r="M271" s="69">
        <v>22.411000000000001</v>
      </c>
      <c r="N271" s="69">
        <v>24.448</v>
      </c>
      <c r="O271" s="69">
        <v>15.27</v>
      </c>
      <c r="P271" s="69">
        <v>0</v>
      </c>
      <c r="Q271" s="69">
        <v>6.1310000000000002</v>
      </c>
      <c r="R271" s="69">
        <v>10.906000000000001</v>
      </c>
      <c r="S271" s="69">
        <v>2.1930000000000001</v>
      </c>
      <c r="T271" s="69">
        <v>11.412000000000001</v>
      </c>
      <c r="U271" s="69">
        <v>16.507000000000001</v>
      </c>
      <c r="V271" s="69">
        <v>1.544</v>
      </c>
      <c r="W271" s="71">
        <v>8.8540666669999997</v>
      </c>
      <c r="X271" s="71">
        <v>2.3103004390000002</v>
      </c>
      <c r="Y271" s="69">
        <v>15</v>
      </c>
      <c r="Z271" s="71">
        <v>221.35166670000001</v>
      </c>
      <c r="AA271" s="71">
        <v>57.757510979999999</v>
      </c>
    </row>
    <row r="272" spans="1:27">
      <c r="A272" s="72">
        <v>41122</v>
      </c>
      <c r="B272" t="s">
        <v>387</v>
      </c>
      <c r="C272" s="69" t="s">
        <v>437</v>
      </c>
      <c r="D272" s="69" t="s">
        <v>400</v>
      </c>
      <c r="E272" s="69" t="s">
        <v>407</v>
      </c>
      <c r="F272" s="69" t="s">
        <v>402</v>
      </c>
      <c r="G272" s="73" t="str">
        <f t="shared" si="4"/>
        <v>new above</v>
      </c>
      <c r="H272" s="69">
        <v>0</v>
      </c>
      <c r="I272" s="69">
        <v>0</v>
      </c>
      <c r="J272" s="69">
        <v>0</v>
      </c>
      <c r="K272" s="69">
        <v>0</v>
      </c>
      <c r="L272" s="69">
        <v>0</v>
      </c>
      <c r="M272" s="69">
        <v>0</v>
      </c>
      <c r="N272" s="69">
        <v>0</v>
      </c>
      <c r="O272" s="69">
        <v>0.17399999999999999</v>
      </c>
      <c r="P272" s="69">
        <v>0</v>
      </c>
      <c r="Q272" s="69">
        <v>0</v>
      </c>
      <c r="R272" s="69">
        <v>0.157</v>
      </c>
      <c r="S272" s="69">
        <v>0.01</v>
      </c>
      <c r="T272" s="69">
        <v>0</v>
      </c>
      <c r="U272" s="69">
        <v>0</v>
      </c>
      <c r="V272" s="69">
        <v>0.47099999999999997</v>
      </c>
      <c r="W272" s="71">
        <v>5.4133332999999999E-2</v>
      </c>
      <c r="X272" s="71">
        <v>3.3303062000000001E-2</v>
      </c>
      <c r="Y272" s="69">
        <v>15</v>
      </c>
      <c r="Z272" s="71">
        <v>1.3533333329999999</v>
      </c>
      <c r="AA272" s="71">
        <v>0.83257656099999999</v>
      </c>
    </row>
    <row r="273" spans="1:27">
      <c r="A273" s="72">
        <v>41122</v>
      </c>
      <c r="B273" t="s">
        <v>387</v>
      </c>
      <c r="C273" s="69" t="s">
        <v>437</v>
      </c>
      <c r="D273" s="69" t="s">
        <v>400</v>
      </c>
      <c r="E273" s="69" t="s">
        <v>407</v>
      </c>
      <c r="F273" s="69" t="s">
        <v>403</v>
      </c>
      <c r="G273" s="73" t="str">
        <f t="shared" si="4"/>
        <v>new above</v>
      </c>
      <c r="H273" s="69">
        <v>0</v>
      </c>
      <c r="I273" s="69">
        <v>0</v>
      </c>
      <c r="J273" s="69">
        <v>0</v>
      </c>
      <c r="K273" s="69">
        <v>0</v>
      </c>
      <c r="L273" s="69">
        <v>0</v>
      </c>
      <c r="M273" s="69">
        <v>0</v>
      </c>
      <c r="N273" s="69">
        <v>0</v>
      </c>
      <c r="O273" s="69">
        <v>3.3000000000000002E-2</v>
      </c>
      <c r="P273" s="69">
        <v>0</v>
      </c>
      <c r="Q273" s="69">
        <v>0</v>
      </c>
      <c r="R273" s="69">
        <v>0.02</v>
      </c>
      <c r="S273" s="69">
        <v>0</v>
      </c>
      <c r="T273" s="69">
        <v>0</v>
      </c>
      <c r="U273" s="69">
        <v>0</v>
      </c>
      <c r="V273" s="69">
        <v>7.6999999999999999E-2</v>
      </c>
      <c r="W273" s="71">
        <v>8.6666669999999994E-3</v>
      </c>
      <c r="X273" s="71">
        <v>5.4734570000000001E-3</v>
      </c>
      <c r="Y273" s="69">
        <v>15</v>
      </c>
      <c r="Z273" s="71">
        <v>0.21666666700000001</v>
      </c>
      <c r="AA273" s="71">
        <v>0.13683642200000001</v>
      </c>
    </row>
    <row r="274" spans="1:27">
      <c r="A274" s="72">
        <v>41122</v>
      </c>
      <c r="B274" t="s">
        <v>387</v>
      </c>
      <c r="C274" s="69" t="s">
        <v>437</v>
      </c>
      <c r="D274" s="69" t="s">
        <v>400</v>
      </c>
      <c r="E274" s="69" t="s">
        <v>407</v>
      </c>
      <c r="F274" s="69" t="s">
        <v>404</v>
      </c>
      <c r="G274" s="73" t="str">
        <f t="shared" si="4"/>
        <v>old above</v>
      </c>
      <c r="H274" s="69">
        <v>0</v>
      </c>
      <c r="I274" s="69">
        <v>0</v>
      </c>
      <c r="J274" s="69">
        <v>0</v>
      </c>
      <c r="K274" s="69">
        <v>0</v>
      </c>
      <c r="L274" s="69">
        <v>0.113</v>
      </c>
      <c r="M274" s="69">
        <v>0</v>
      </c>
      <c r="N274" s="69">
        <v>0</v>
      </c>
      <c r="O274" s="69">
        <v>0.217</v>
      </c>
      <c r="P274" s="69">
        <v>0</v>
      </c>
      <c r="Q274" s="69">
        <v>0</v>
      </c>
      <c r="R274" s="69">
        <v>0.151</v>
      </c>
      <c r="S274" s="69">
        <v>0</v>
      </c>
      <c r="T274" s="69">
        <v>0</v>
      </c>
      <c r="U274" s="69">
        <v>0</v>
      </c>
      <c r="V274" s="69">
        <v>4.6319999999999997</v>
      </c>
      <c r="W274" s="71">
        <v>0.34086666700000001</v>
      </c>
      <c r="X274" s="71">
        <v>0.30702281399999998</v>
      </c>
      <c r="Y274" s="69">
        <v>15</v>
      </c>
      <c r="Z274" s="71">
        <v>8.5216666669999999</v>
      </c>
      <c r="AA274" s="71">
        <v>7.6755703469999998</v>
      </c>
    </row>
    <row r="275" spans="1:27">
      <c r="A275" s="72">
        <v>41122</v>
      </c>
      <c r="B275" t="s">
        <v>387</v>
      </c>
      <c r="C275" s="69" t="s">
        <v>437</v>
      </c>
      <c r="D275" s="69" t="s">
        <v>400</v>
      </c>
      <c r="E275" s="69" t="s">
        <v>407</v>
      </c>
      <c r="F275" s="69" t="s">
        <v>405</v>
      </c>
      <c r="G275" s="73" t="str">
        <f t="shared" si="4"/>
        <v>new above</v>
      </c>
      <c r="H275" s="69">
        <v>0</v>
      </c>
      <c r="I275" s="69">
        <v>0</v>
      </c>
      <c r="J275" s="69">
        <v>0</v>
      </c>
      <c r="K275" s="69">
        <v>0</v>
      </c>
      <c r="L275" s="69">
        <v>0</v>
      </c>
      <c r="M275" s="69">
        <v>0</v>
      </c>
      <c r="N275" s="69">
        <v>0</v>
      </c>
      <c r="O275" s="69">
        <v>0</v>
      </c>
      <c r="P275" s="69">
        <v>0</v>
      </c>
      <c r="Q275" s="69">
        <v>0</v>
      </c>
      <c r="R275" s="69">
        <v>0</v>
      </c>
      <c r="S275" s="69">
        <v>0</v>
      </c>
      <c r="T275" s="69">
        <v>0</v>
      </c>
      <c r="U275" s="69">
        <v>0</v>
      </c>
      <c r="V275" s="69">
        <v>0</v>
      </c>
      <c r="W275" s="71">
        <v>0</v>
      </c>
      <c r="X275" s="71">
        <v>0</v>
      </c>
      <c r="Y275" s="69">
        <v>15</v>
      </c>
      <c r="Z275" s="71">
        <v>0</v>
      </c>
      <c r="AA275" s="71">
        <v>0</v>
      </c>
    </row>
    <row r="276" spans="1:27">
      <c r="A276" s="72">
        <v>41122</v>
      </c>
      <c r="B276" t="s">
        <v>387</v>
      </c>
      <c r="C276" s="69" t="s">
        <v>437</v>
      </c>
      <c r="D276" s="69" t="s">
        <v>400</v>
      </c>
      <c r="E276" s="69" t="s">
        <v>407</v>
      </c>
      <c r="F276" s="69" t="s">
        <v>406</v>
      </c>
      <c r="G276" s="73" t="str">
        <f t="shared" si="4"/>
        <v>below</v>
      </c>
      <c r="H276" s="69">
        <v>0</v>
      </c>
      <c r="I276" s="69">
        <v>0</v>
      </c>
      <c r="J276" s="69">
        <v>0</v>
      </c>
      <c r="K276" s="69">
        <v>0</v>
      </c>
      <c r="L276" s="69">
        <v>2.8759999999999999</v>
      </c>
      <c r="M276" s="69">
        <v>0</v>
      </c>
      <c r="N276" s="69">
        <v>0</v>
      </c>
      <c r="O276" s="69">
        <v>0</v>
      </c>
      <c r="P276" s="69">
        <v>0</v>
      </c>
      <c r="Q276" s="69">
        <v>0</v>
      </c>
      <c r="R276" s="69">
        <v>3.0910000000000002</v>
      </c>
      <c r="S276" s="69">
        <v>9.1750000000000007</v>
      </c>
      <c r="T276" s="69">
        <v>0</v>
      </c>
      <c r="U276" s="69">
        <v>0</v>
      </c>
      <c r="V276" s="69">
        <v>38.209000000000003</v>
      </c>
      <c r="W276" s="71">
        <v>3.5567333329999999</v>
      </c>
      <c r="X276" s="71">
        <v>2.55620504</v>
      </c>
      <c r="Y276" s="69">
        <v>15</v>
      </c>
      <c r="Z276" s="71">
        <v>88.918333329999996</v>
      </c>
      <c r="AA276" s="71">
        <v>63.905125990000002</v>
      </c>
    </row>
    <row r="277" spans="1:27">
      <c r="A277" s="72">
        <v>41122</v>
      </c>
      <c r="B277" t="s">
        <v>387</v>
      </c>
      <c r="C277" s="69" t="s">
        <v>437</v>
      </c>
      <c r="D277" s="69" t="s">
        <v>400</v>
      </c>
      <c r="E277" s="69" t="s">
        <v>408</v>
      </c>
      <c r="F277" s="69" t="s">
        <v>402</v>
      </c>
      <c r="G277" s="73" t="str">
        <f t="shared" si="4"/>
        <v>new above</v>
      </c>
      <c r="H277" s="69">
        <v>0</v>
      </c>
      <c r="I277" s="69">
        <v>0</v>
      </c>
      <c r="J277" s="69">
        <v>0</v>
      </c>
      <c r="K277" s="69">
        <v>0.23499999999999999</v>
      </c>
      <c r="L277" s="69">
        <v>8.3000000000000004E-2</v>
      </c>
      <c r="M277" s="69">
        <v>0</v>
      </c>
      <c r="N277" s="69">
        <v>0</v>
      </c>
      <c r="O277" s="69">
        <v>4.1000000000000002E-2</v>
      </c>
      <c r="P277" s="69">
        <v>0.05</v>
      </c>
      <c r="Q277" s="69">
        <v>0</v>
      </c>
      <c r="R277" s="69">
        <v>0.36399999999999999</v>
      </c>
      <c r="S277" s="69">
        <v>0.224</v>
      </c>
      <c r="T277" s="69">
        <v>0</v>
      </c>
      <c r="U277" s="69">
        <v>0</v>
      </c>
      <c r="V277" s="69">
        <v>0.81799999999999995</v>
      </c>
      <c r="W277" s="71">
        <v>0.121</v>
      </c>
      <c r="X277" s="71">
        <v>5.7672144000000002E-2</v>
      </c>
      <c r="Y277" s="69">
        <v>15</v>
      </c>
      <c r="Z277" s="71">
        <v>3.0249999999999999</v>
      </c>
      <c r="AA277" s="71">
        <v>1.441803599</v>
      </c>
    </row>
    <row r="278" spans="1:27">
      <c r="A278" s="72">
        <v>41122</v>
      </c>
      <c r="B278" t="s">
        <v>387</v>
      </c>
      <c r="C278" s="69" t="s">
        <v>437</v>
      </c>
      <c r="D278" s="69" t="s">
        <v>400</v>
      </c>
      <c r="E278" s="69" t="s">
        <v>408</v>
      </c>
      <c r="F278" s="69" t="s">
        <v>403</v>
      </c>
      <c r="G278" s="73" t="str">
        <f t="shared" si="4"/>
        <v>new above</v>
      </c>
      <c r="H278" s="69">
        <v>0</v>
      </c>
      <c r="I278" s="69">
        <v>0</v>
      </c>
      <c r="J278" s="69">
        <v>0</v>
      </c>
      <c r="K278" s="69">
        <v>9.6000000000000002E-2</v>
      </c>
      <c r="L278" s="69">
        <v>9.0999999999999998E-2</v>
      </c>
      <c r="M278" s="69">
        <v>0</v>
      </c>
      <c r="N278" s="69">
        <v>0</v>
      </c>
      <c r="O278" s="69">
        <v>0.11700000000000001</v>
      </c>
      <c r="P278" s="69">
        <v>1.4999999999999999E-2</v>
      </c>
      <c r="Q278" s="69">
        <v>0</v>
      </c>
      <c r="R278" s="69">
        <v>0</v>
      </c>
      <c r="S278" s="69">
        <v>0.124</v>
      </c>
      <c r="T278" s="69">
        <v>0</v>
      </c>
      <c r="U278" s="69">
        <v>0</v>
      </c>
      <c r="V278" s="69">
        <v>0.27400000000000002</v>
      </c>
      <c r="W278" s="71">
        <v>4.7800000000000002E-2</v>
      </c>
      <c r="X278" s="71">
        <v>2.0422955999999999E-2</v>
      </c>
      <c r="Y278" s="69">
        <v>15</v>
      </c>
      <c r="Z278" s="71">
        <v>1.1950000000000001</v>
      </c>
      <c r="AA278" s="71">
        <v>0.51057390700000005</v>
      </c>
    </row>
    <row r="279" spans="1:27">
      <c r="A279" s="72">
        <v>41122</v>
      </c>
      <c r="B279" t="s">
        <v>387</v>
      </c>
      <c r="C279" s="69" t="s">
        <v>437</v>
      </c>
      <c r="D279" s="69" t="s">
        <v>400</v>
      </c>
      <c r="E279" s="69" t="s">
        <v>408</v>
      </c>
      <c r="F279" s="69" t="s">
        <v>404</v>
      </c>
      <c r="G279" s="73" t="str">
        <f t="shared" si="4"/>
        <v>old above</v>
      </c>
      <c r="H279" s="69">
        <v>0</v>
      </c>
      <c r="I279" s="69">
        <v>0</v>
      </c>
      <c r="J279" s="69">
        <v>0</v>
      </c>
      <c r="K279" s="69">
        <v>1.752</v>
      </c>
      <c r="L279" s="69">
        <v>0.52</v>
      </c>
      <c r="M279" s="69">
        <v>0</v>
      </c>
      <c r="N279" s="69">
        <v>0</v>
      </c>
      <c r="O279" s="69">
        <v>0.11899999999999999</v>
      </c>
      <c r="P279" s="69">
        <v>0.38500000000000001</v>
      </c>
      <c r="Q279" s="69">
        <v>0</v>
      </c>
      <c r="R279" s="69">
        <v>0</v>
      </c>
      <c r="S279" s="69">
        <v>0.97399999999999998</v>
      </c>
      <c r="T279" s="69">
        <v>0</v>
      </c>
      <c r="U279" s="69">
        <v>0</v>
      </c>
      <c r="V279" s="69">
        <v>2.415</v>
      </c>
      <c r="W279" s="71">
        <v>0.41099999999999998</v>
      </c>
      <c r="X279" s="71">
        <v>0.19209838700000001</v>
      </c>
      <c r="Y279" s="69">
        <v>15</v>
      </c>
      <c r="Z279" s="71">
        <v>10.275</v>
      </c>
      <c r="AA279" s="71">
        <v>4.8024596869999998</v>
      </c>
    </row>
    <row r="280" spans="1:27">
      <c r="A280" s="72">
        <v>41122</v>
      </c>
      <c r="B280" t="s">
        <v>387</v>
      </c>
      <c r="C280" s="69" t="s">
        <v>437</v>
      </c>
      <c r="D280" s="69" t="s">
        <v>400</v>
      </c>
      <c r="E280" s="69" t="s">
        <v>408</v>
      </c>
      <c r="F280" s="69" t="s">
        <v>405</v>
      </c>
      <c r="G280" s="73" t="str">
        <f t="shared" si="4"/>
        <v>new above</v>
      </c>
      <c r="H280" s="69">
        <v>0</v>
      </c>
      <c r="I280" s="69">
        <v>0</v>
      </c>
      <c r="J280" s="69">
        <v>0</v>
      </c>
      <c r="K280" s="69">
        <v>0</v>
      </c>
      <c r="L280" s="69">
        <v>0</v>
      </c>
      <c r="M280" s="69">
        <v>0</v>
      </c>
      <c r="N280" s="69">
        <v>0</v>
      </c>
      <c r="O280" s="69">
        <v>0</v>
      </c>
      <c r="P280" s="69">
        <v>0</v>
      </c>
      <c r="Q280" s="69">
        <v>0</v>
      </c>
      <c r="R280" s="69">
        <v>0</v>
      </c>
      <c r="S280" s="69">
        <v>0</v>
      </c>
      <c r="T280" s="69">
        <v>0</v>
      </c>
      <c r="U280" s="69">
        <v>0</v>
      </c>
      <c r="V280" s="69">
        <v>0</v>
      </c>
      <c r="W280" s="71">
        <v>0</v>
      </c>
      <c r="X280" s="71">
        <v>0</v>
      </c>
      <c r="Y280" s="69">
        <v>15</v>
      </c>
      <c r="Z280" s="71">
        <v>0</v>
      </c>
      <c r="AA280" s="71">
        <v>0</v>
      </c>
    </row>
    <row r="281" spans="1:27">
      <c r="A281" s="72">
        <v>41122</v>
      </c>
      <c r="B281" t="s">
        <v>387</v>
      </c>
      <c r="C281" s="69" t="s">
        <v>437</v>
      </c>
      <c r="D281" s="69" t="s">
        <v>400</v>
      </c>
      <c r="E281" s="69" t="s">
        <v>408</v>
      </c>
      <c r="F281" s="69" t="s">
        <v>406</v>
      </c>
      <c r="G281" s="73" t="str">
        <f t="shared" si="4"/>
        <v>below</v>
      </c>
      <c r="H281" s="69">
        <v>0</v>
      </c>
      <c r="I281" s="69">
        <v>0</v>
      </c>
      <c r="J281" s="69">
        <v>0</v>
      </c>
      <c r="K281" s="69">
        <v>6.0780000000000003</v>
      </c>
      <c r="L281" s="69">
        <v>0.45</v>
      </c>
      <c r="M281" s="69">
        <v>0</v>
      </c>
      <c r="N281" s="69">
        <v>0</v>
      </c>
      <c r="O281" s="69">
        <v>7.0999999999999994E-2</v>
      </c>
      <c r="P281" s="69">
        <v>0.71599999999999997</v>
      </c>
      <c r="Q281" s="69">
        <v>0</v>
      </c>
      <c r="R281" s="69">
        <v>0.49</v>
      </c>
      <c r="S281" s="69">
        <v>2.6480000000000001</v>
      </c>
      <c r="T281" s="69">
        <v>0</v>
      </c>
      <c r="U281" s="69">
        <v>0</v>
      </c>
      <c r="V281" s="69">
        <v>0</v>
      </c>
      <c r="W281" s="71">
        <v>0.696866667</v>
      </c>
      <c r="X281" s="71">
        <v>0.42330860999999997</v>
      </c>
      <c r="Y281" s="69">
        <v>15</v>
      </c>
      <c r="Z281" s="71">
        <v>17.42166667</v>
      </c>
      <c r="AA281" s="71">
        <v>10.582715260000001</v>
      </c>
    </row>
    <row r="282" spans="1:27">
      <c r="A282" s="72">
        <v>41122</v>
      </c>
      <c r="B282" t="s">
        <v>387</v>
      </c>
      <c r="C282" s="69" t="s">
        <v>437</v>
      </c>
      <c r="D282" s="69" t="s">
        <v>411</v>
      </c>
      <c r="E282" s="69" t="s">
        <v>412</v>
      </c>
      <c r="F282" s="69" t="s">
        <v>402</v>
      </c>
      <c r="G282" s="73" t="str">
        <f t="shared" si="4"/>
        <v>new above</v>
      </c>
      <c r="H282" s="69">
        <v>0.41399999999999998</v>
      </c>
      <c r="I282" s="69">
        <v>0.22800000000000001</v>
      </c>
      <c r="J282" s="69">
        <v>2.1850000000000001</v>
      </c>
      <c r="K282" s="69">
        <v>0.71599999999999997</v>
      </c>
      <c r="L282" s="69">
        <v>0.22500000000000001</v>
      </c>
      <c r="M282" s="69">
        <v>0.20599999999999999</v>
      </c>
      <c r="N282" s="69">
        <v>1.1519999999999999</v>
      </c>
      <c r="O282" s="69">
        <v>0.38900000000000001</v>
      </c>
      <c r="P282" s="69">
        <v>0.65100000000000002</v>
      </c>
      <c r="Q282" s="69">
        <v>0.77800000000000002</v>
      </c>
      <c r="R282" s="69">
        <v>0.434</v>
      </c>
      <c r="S282" s="69">
        <v>0.155</v>
      </c>
      <c r="T282" s="69">
        <v>0.21099999999999999</v>
      </c>
      <c r="U282" s="69">
        <v>0.80900000000000005</v>
      </c>
      <c r="V282" s="69">
        <v>0.35199999999999998</v>
      </c>
      <c r="W282" s="71">
        <v>0.59366666700000004</v>
      </c>
      <c r="X282" s="71">
        <v>0.13556789399999999</v>
      </c>
      <c r="Y282" s="69">
        <v>15</v>
      </c>
      <c r="Z282" s="71">
        <v>14.84166667</v>
      </c>
      <c r="AA282" s="71">
        <v>3.3891973580000001</v>
      </c>
    </row>
    <row r="283" spans="1:27">
      <c r="A283" s="72">
        <v>41122</v>
      </c>
      <c r="B283" t="s">
        <v>387</v>
      </c>
      <c r="C283" s="69" t="s">
        <v>437</v>
      </c>
      <c r="D283" s="69" t="s">
        <v>411</v>
      </c>
      <c r="E283" s="69" t="s">
        <v>412</v>
      </c>
      <c r="F283" s="69" t="s">
        <v>403</v>
      </c>
      <c r="G283" s="73" t="str">
        <f t="shared" si="4"/>
        <v>new above</v>
      </c>
      <c r="H283" s="69">
        <v>0.23400000000000001</v>
      </c>
      <c r="I283" s="69">
        <v>6.3E-2</v>
      </c>
      <c r="J283" s="69">
        <v>0.97299999999999998</v>
      </c>
      <c r="K283" s="69">
        <v>0.23699999999999999</v>
      </c>
      <c r="L283" s="69">
        <v>0.502</v>
      </c>
      <c r="M283" s="69">
        <v>5.7000000000000002E-2</v>
      </c>
      <c r="N283" s="69">
        <v>0.629</v>
      </c>
      <c r="O283" s="69">
        <v>0.12</v>
      </c>
      <c r="P283" s="69">
        <v>0.123</v>
      </c>
      <c r="Q283" s="69">
        <v>0.24399999999999999</v>
      </c>
      <c r="R283" s="69">
        <v>0.159</v>
      </c>
      <c r="S283" s="69">
        <v>5.7000000000000002E-2</v>
      </c>
      <c r="T283" s="69">
        <v>0.106</v>
      </c>
      <c r="U283" s="69">
        <v>0.34799999999999998</v>
      </c>
      <c r="V283" s="69">
        <v>0.113</v>
      </c>
      <c r="W283" s="71">
        <v>0.264333333</v>
      </c>
      <c r="X283" s="71">
        <v>6.6445084000000001E-2</v>
      </c>
      <c r="Y283" s="69">
        <v>15</v>
      </c>
      <c r="Z283" s="71">
        <v>6.608333333</v>
      </c>
      <c r="AA283" s="71">
        <v>1.6611271030000001</v>
      </c>
    </row>
    <row r="284" spans="1:27">
      <c r="A284" s="72">
        <v>41122</v>
      </c>
      <c r="B284" t="s">
        <v>387</v>
      </c>
      <c r="C284" s="69" t="s">
        <v>437</v>
      </c>
      <c r="D284" s="69" t="s">
        <v>411</v>
      </c>
      <c r="E284" s="69" t="s">
        <v>412</v>
      </c>
      <c r="F284" s="69" t="s">
        <v>413</v>
      </c>
      <c r="G284" s="73" t="str">
        <f t="shared" si="4"/>
        <v>old above</v>
      </c>
      <c r="H284" s="69">
        <v>0.77600000000000002</v>
      </c>
      <c r="I284" s="69">
        <v>9.0999999999999998E-2</v>
      </c>
      <c r="J284" s="69">
        <v>7.9000000000000001E-2</v>
      </c>
      <c r="K284" s="69">
        <v>0.44800000000000001</v>
      </c>
      <c r="L284" s="69">
        <v>2.7480000000000002</v>
      </c>
      <c r="M284" s="69">
        <v>0.186</v>
      </c>
      <c r="N284" s="69">
        <v>1.226</v>
      </c>
      <c r="O284" s="69">
        <v>0.16700000000000001</v>
      </c>
      <c r="P284" s="69">
        <v>0.28499999999999998</v>
      </c>
      <c r="Q284" s="69">
        <v>0.82399999999999995</v>
      </c>
      <c r="R284" s="69">
        <v>0.121</v>
      </c>
      <c r="S284" s="69">
        <v>7.8E-2</v>
      </c>
      <c r="T284" s="69">
        <v>0.32500000000000001</v>
      </c>
      <c r="U284" s="69">
        <v>0.26100000000000001</v>
      </c>
      <c r="V284" s="69">
        <v>0.52700000000000002</v>
      </c>
      <c r="W284" s="71">
        <v>0.54279999999999995</v>
      </c>
      <c r="X284" s="71">
        <v>0.17924963199999999</v>
      </c>
      <c r="Y284" s="69">
        <v>15</v>
      </c>
      <c r="Z284" s="71">
        <v>13.57</v>
      </c>
      <c r="AA284" s="71">
        <v>4.4812407929999996</v>
      </c>
    </row>
    <row r="285" spans="1:27">
      <c r="A285" s="72">
        <v>41122</v>
      </c>
      <c r="B285" t="s">
        <v>387</v>
      </c>
      <c r="C285" s="69" t="s">
        <v>437</v>
      </c>
      <c r="D285" s="69" t="s">
        <v>411</v>
      </c>
      <c r="E285" s="69" t="s">
        <v>412</v>
      </c>
      <c r="F285" s="69" t="s">
        <v>404</v>
      </c>
      <c r="G285" s="73" t="str">
        <f t="shared" si="4"/>
        <v>old above</v>
      </c>
      <c r="H285" s="69">
        <v>1.5529999999999999</v>
      </c>
      <c r="I285" s="69">
        <v>0.186</v>
      </c>
      <c r="J285" s="69">
        <v>3.4319999999999999</v>
      </c>
      <c r="K285" s="69">
        <v>1.2310000000000001</v>
      </c>
      <c r="L285" s="69">
        <v>4.8330000000000002</v>
      </c>
      <c r="M285" s="69">
        <v>7.9000000000000001E-2</v>
      </c>
      <c r="N285" s="69">
        <v>2.952</v>
      </c>
      <c r="O285" s="69">
        <v>2.4929999999999999</v>
      </c>
      <c r="P285" s="69">
        <v>0.6</v>
      </c>
      <c r="Q285" s="69">
        <v>2.7189999999999999</v>
      </c>
      <c r="R285" s="69">
        <v>1.7270000000000001</v>
      </c>
      <c r="S285" s="69">
        <v>0.83099999999999996</v>
      </c>
      <c r="T285" s="69">
        <v>0.90100000000000002</v>
      </c>
      <c r="U285" s="69">
        <v>2.8679999999999999</v>
      </c>
      <c r="V285" s="69">
        <v>1.21</v>
      </c>
      <c r="W285" s="71">
        <v>1.841</v>
      </c>
      <c r="X285" s="71">
        <v>0.345873869</v>
      </c>
      <c r="Y285" s="69">
        <v>15</v>
      </c>
      <c r="Z285" s="71">
        <v>46.024999999999999</v>
      </c>
      <c r="AA285" s="71">
        <v>8.6468467279999999</v>
      </c>
    </row>
    <row r="286" spans="1:27">
      <c r="A286" s="72">
        <v>41122</v>
      </c>
      <c r="B286" t="s">
        <v>387</v>
      </c>
      <c r="C286" s="69" t="s">
        <v>437</v>
      </c>
      <c r="D286" s="69" t="s">
        <v>411</v>
      </c>
      <c r="E286" s="69" t="s">
        <v>412</v>
      </c>
      <c r="F286" s="69" t="s">
        <v>405</v>
      </c>
      <c r="G286" s="73" t="str">
        <f t="shared" si="4"/>
        <v>new above</v>
      </c>
      <c r="H286" s="69">
        <v>0</v>
      </c>
      <c r="I286" s="69">
        <v>0</v>
      </c>
      <c r="J286" s="69">
        <v>0</v>
      </c>
      <c r="K286" s="69">
        <v>0</v>
      </c>
      <c r="L286" s="69">
        <v>1.2999999999999999E-2</v>
      </c>
      <c r="M286" s="69">
        <v>0</v>
      </c>
      <c r="N286" s="69">
        <v>0</v>
      </c>
      <c r="O286" s="69">
        <v>0</v>
      </c>
      <c r="P286" s="69">
        <v>0</v>
      </c>
      <c r="Q286" s="69">
        <v>0</v>
      </c>
      <c r="R286" s="69">
        <v>0</v>
      </c>
      <c r="S286" s="69">
        <v>0</v>
      </c>
      <c r="T286" s="69">
        <v>1E-3</v>
      </c>
      <c r="U286" s="69">
        <v>0</v>
      </c>
      <c r="V286" s="69">
        <v>0</v>
      </c>
      <c r="W286" s="71">
        <v>9.3333299999999995E-4</v>
      </c>
      <c r="X286" s="71">
        <v>8.6446600000000004E-4</v>
      </c>
      <c r="Y286" s="69">
        <v>15</v>
      </c>
      <c r="Z286" s="71">
        <v>2.3333333000000001E-2</v>
      </c>
      <c r="AA286" s="71">
        <v>2.1611651999999999E-2</v>
      </c>
    </row>
    <row r="287" spans="1:27">
      <c r="A287" s="72">
        <v>41122</v>
      </c>
      <c r="B287" t="s">
        <v>387</v>
      </c>
      <c r="C287" s="69" t="s">
        <v>437</v>
      </c>
      <c r="D287" s="69" t="s">
        <v>411</v>
      </c>
      <c r="E287" s="69" t="s">
        <v>412</v>
      </c>
      <c r="F287" s="69" t="s">
        <v>406</v>
      </c>
      <c r="G287" s="73" t="str">
        <f t="shared" si="4"/>
        <v>below</v>
      </c>
      <c r="H287" s="69">
        <v>0.45500000000000002</v>
      </c>
      <c r="I287" s="69">
        <v>1.5069999999999999</v>
      </c>
      <c r="J287" s="69">
        <v>24.187999999999999</v>
      </c>
      <c r="K287" s="69">
        <v>4.9240000000000004</v>
      </c>
      <c r="L287" s="69">
        <v>7.1340000000000003</v>
      </c>
      <c r="M287" s="69">
        <v>3.5640000000000001</v>
      </c>
      <c r="N287" s="69">
        <v>0.84799999999999998</v>
      </c>
      <c r="O287" s="69">
        <v>3.7349999999999999</v>
      </c>
      <c r="P287" s="69">
        <v>6.0979999999999999</v>
      </c>
      <c r="Q287" s="69">
        <v>13.509</v>
      </c>
      <c r="R287" s="69">
        <v>3.93</v>
      </c>
      <c r="S287" s="69">
        <v>1.9139999999999999</v>
      </c>
      <c r="T287" s="69">
        <v>2.2149999999999999</v>
      </c>
      <c r="U287" s="69">
        <v>5.69</v>
      </c>
      <c r="V287" s="69">
        <v>5.4089999999999998</v>
      </c>
      <c r="W287" s="71">
        <v>5.6746666670000003</v>
      </c>
      <c r="X287" s="71">
        <v>1.561969964</v>
      </c>
      <c r="Y287" s="69">
        <v>15</v>
      </c>
      <c r="Z287" s="71">
        <v>141.8666667</v>
      </c>
      <c r="AA287" s="71">
        <v>39.049249099999997</v>
      </c>
    </row>
    <row r="288" spans="1:27">
      <c r="A288" s="72">
        <v>41122</v>
      </c>
      <c r="B288" t="s">
        <v>387</v>
      </c>
      <c r="C288" s="69" t="s">
        <v>437</v>
      </c>
      <c r="D288" s="69" t="s">
        <v>411</v>
      </c>
      <c r="E288" s="69" t="s">
        <v>414</v>
      </c>
      <c r="F288" s="69" t="s">
        <v>402</v>
      </c>
      <c r="G288" s="73" t="str">
        <f t="shared" si="4"/>
        <v>new above</v>
      </c>
      <c r="H288" s="69">
        <v>0.749</v>
      </c>
      <c r="I288" s="69">
        <v>0.189</v>
      </c>
      <c r="J288" s="69">
        <v>8.7999999999999995E-2</v>
      </c>
      <c r="K288" s="69">
        <v>0.13700000000000001</v>
      </c>
      <c r="L288" s="69">
        <v>0.21299999999999999</v>
      </c>
      <c r="M288" s="69">
        <v>7.0000000000000001E-3</v>
      </c>
      <c r="N288" s="69">
        <v>4.2000000000000003E-2</v>
      </c>
      <c r="O288" s="69">
        <v>0</v>
      </c>
      <c r="P288" s="69">
        <v>0</v>
      </c>
      <c r="Q288" s="69">
        <v>1.7000000000000001E-2</v>
      </c>
      <c r="R288" s="69">
        <v>0.47099999999999997</v>
      </c>
      <c r="S288" s="69">
        <v>0.14499999999999999</v>
      </c>
      <c r="T288" s="69">
        <v>0.90800000000000003</v>
      </c>
      <c r="U288" s="69">
        <v>0.58499999999999996</v>
      </c>
      <c r="V288" s="69">
        <v>0.45200000000000001</v>
      </c>
      <c r="W288" s="71">
        <v>0.266866667</v>
      </c>
      <c r="X288" s="71">
        <v>7.6104493999999995E-2</v>
      </c>
      <c r="Y288" s="69">
        <v>15</v>
      </c>
      <c r="Z288" s="71">
        <v>6.6716666670000002</v>
      </c>
      <c r="AA288" s="71">
        <v>1.902612344</v>
      </c>
    </row>
    <row r="289" spans="1:27">
      <c r="A289" s="72">
        <v>41122</v>
      </c>
      <c r="B289" t="s">
        <v>387</v>
      </c>
      <c r="C289" s="69" t="s">
        <v>437</v>
      </c>
      <c r="D289" s="69" t="s">
        <v>411</v>
      </c>
      <c r="E289" s="69" t="s">
        <v>414</v>
      </c>
      <c r="F289" s="69" t="s">
        <v>403</v>
      </c>
      <c r="G289" s="73" t="str">
        <f t="shared" si="4"/>
        <v>new above</v>
      </c>
      <c r="H289" s="69">
        <v>0.154</v>
      </c>
      <c r="I289" s="69">
        <v>0.03</v>
      </c>
      <c r="J289" s="69">
        <v>3.3000000000000002E-2</v>
      </c>
      <c r="K289" s="69">
        <v>4.2999999999999997E-2</v>
      </c>
      <c r="L289" s="69">
        <v>0.06</v>
      </c>
      <c r="M289" s="69">
        <v>6.0000000000000001E-3</v>
      </c>
      <c r="N289" s="69">
        <v>1.9E-2</v>
      </c>
      <c r="O289" s="69">
        <v>0</v>
      </c>
      <c r="P289" s="69">
        <v>0</v>
      </c>
      <c r="Q289" s="69" t="s">
        <v>436</v>
      </c>
      <c r="R289" s="69">
        <v>0.1</v>
      </c>
      <c r="S289" s="69">
        <v>2.5999999999999999E-2</v>
      </c>
      <c r="T289" s="69">
        <v>0.27</v>
      </c>
      <c r="U289" s="69">
        <v>0.14000000000000001</v>
      </c>
      <c r="V289" s="69">
        <v>0.10299999999999999</v>
      </c>
      <c r="W289" s="71">
        <v>7.0285713999999999E-2</v>
      </c>
      <c r="X289" s="71">
        <v>2.0458328000000001E-2</v>
      </c>
      <c r="Y289" s="69">
        <v>14</v>
      </c>
      <c r="Z289" s="71" t="s">
        <v>436</v>
      </c>
      <c r="AA289" s="71" t="s">
        <v>436</v>
      </c>
    </row>
    <row r="290" spans="1:27">
      <c r="A290" s="72">
        <v>41122</v>
      </c>
      <c r="B290" t="s">
        <v>387</v>
      </c>
      <c r="C290" s="69" t="s">
        <v>437</v>
      </c>
      <c r="D290" s="69" t="s">
        <v>411</v>
      </c>
      <c r="E290" s="69" t="s">
        <v>414</v>
      </c>
      <c r="F290" s="69" t="s">
        <v>413</v>
      </c>
      <c r="G290" s="73" t="str">
        <f t="shared" si="4"/>
        <v>old above</v>
      </c>
      <c r="H290" s="69">
        <v>1.171</v>
      </c>
      <c r="I290" s="69">
        <v>0.46700000000000003</v>
      </c>
      <c r="J290" s="69">
        <v>1.0309999999999999</v>
      </c>
      <c r="K290" s="69">
        <v>0.17</v>
      </c>
      <c r="L290" s="69">
        <v>1.0389999999999999</v>
      </c>
      <c r="M290" s="69">
        <v>0</v>
      </c>
      <c r="N290" s="69">
        <v>0.52100000000000002</v>
      </c>
      <c r="O290" s="69">
        <v>6.8000000000000005E-2</v>
      </c>
      <c r="P290" s="69">
        <v>0</v>
      </c>
      <c r="Q290" s="69" t="s">
        <v>436</v>
      </c>
      <c r="R290" s="69">
        <v>0.747</v>
      </c>
      <c r="S290" s="69">
        <v>0.35599999999999998</v>
      </c>
      <c r="T290" s="69">
        <v>1.5509999999999999</v>
      </c>
      <c r="U290" s="69">
        <v>0.73299999999999998</v>
      </c>
      <c r="V290" s="69">
        <v>0.32500000000000001</v>
      </c>
      <c r="W290" s="71">
        <v>0.58421428600000003</v>
      </c>
      <c r="X290" s="71">
        <v>0.128211457</v>
      </c>
      <c r="Y290" s="69">
        <v>14</v>
      </c>
      <c r="Z290" s="71" t="s">
        <v>436</v>
      </c>
      <c r="AA290" s="71" t="s">
        <v>436</v>
      </c>
    </row>
    <row r="291" spans="1:27">
      <c r="A291" s="72">
        <v>41122</v>
      </c>
      <c r="B291" t="s">
        <v>387</v>
      </c>
      <c r="C291" s="69" t="s">
        <v>437</v>
      </c>
      <c r="D291" s="69" t="s">
        <v>411</v>
      </c>
      <c r="E291" s="69" t="s">
        <v>414</v>
      </c>
      <c r="F291" s="69" t="s">
        <v>404</v>
      </c>
      <c r="G291" s="73" t="str">
        <f t="shared" si="4"/>
        <v>old above</v>
      </c>
      <c r="H291" s="69">
        <v>0.876</v>
      </c>
      <c r="I291" s="69">
        <v>0.28899999999999998</v>
      </c>
      <c r="J291" s="69">
        <v>1.093</v>
      </c>
      <c r="K291" s="69">
        <v>0.14499999999999999</v>
      </c>
      <c r="L291" s="69">
        <v>0.59799999999999998</v>
      </c>
      <c r="M291" s="69">
        <v>0.71</v>
      </c>
      <c r="N291" s="69">
        <v>0.26300000000000001</v>
      </c>
      <c r="O291" s="69">
        <v>7.3999999999999996E-2</v>
      </c>
      <c r="P291" s="69">
        <v>0</v>
      </c>
      <c r="Q291" s="69">
        <v>0.01</v>
      </c>
      <c r="R291" s="69">
        <v>0.93300000000000005</v>
      </c>
      <c r="S291" s="69">
        <v>0.35099999999999998</v>
      </c>
      <c r="T291" s="69">
        <v>0.68899999999999995</v>
      </c>
      <c r="U291" s="69">
        <v>0.83699999999999997</v>
      </c>
      <c r="V291" s="69">
        <v>0.311</v>
      </c>
      <c r="W291" s="71">
        <v>0.47860000000000003</v>
      </c>
      <c r="X291" s="71">
        <v>9.3423041999999998E-2</v>
      </c>
      <c r="Y291" s="69">
        <v>15</v>
      </c>
      <c r="Z291" s="71">
        <v>11.965</v>
      </c>
      <c r="AA291" s="71">
        <v>2.3355760480000001</v>
      </c>
    </row>
    <row r="292" spans="1:27">
      <c r="A292" s="72">
        <v>41122</v>
      </c>
      <c r="B292" t="s">
        <v>387</v>
      </c>
      <c r="C292" s="69" t="s">
        <v>437</v>
      </c>
      <c r="D292" s="69" t="s">
        <v>411</v>
      </c>
      <c r="E292" s="69" t="s">
        <v>414</v>
      </c>
      <c r="F292" s="69" t="s">
        <v>405</v>
      </c>
      <c r="G292" s="73" t="str">
        <f t="shared" si="4"/>
        <v>new above</v>
      </c>
      <c r="H292" s="69">
        <v>0</v>
      </c>
      <c r="I292" s="69">
        <v>0</v>
      </c>
      <c r="J292" s="69">
        <v>0</v>
      </c>
      <c r="K292" s="69">
        <v>0</v>
      </c>
      <c r="L292" s="69">
        <v>0</v>
      </c>
      <c r="M292" s="69">
        <v>0</v>
      </c>
      <c r="N292" s="69">
        <v>0</v>
      </c>
      <c r="O292" s="69">
        <v>0</v>
      </c>
      <c r="P292" s="69">
        <v>0</v>
      </c>
      <c r="Q292" s="69">
        <v>0</v>
      </c>
      <c r="R292" s="69">
        <v>0</v>
      </c>
      <c r="S292" s="69">
        <v>0</v>
      </c>
      <c r="T292" s="69">
        <v>0</v>
      </c>
      <c r="U292" s="69">
        <v>0</v>
      </c>
      <c r="V292" s="69">
        <v>0</v>
      </c>
      <c r="W292" s="71">
        <v>0</v>
      </c>
      <c r="X292" s="71">
        <v>0</v>
      </c>
      <c r="Y292" s="69">
        <v>15</v>
      </c>
      <c r="Z292" s="71">
        <v>0</v>
      </c>
      <c r="AA292" s="71">
        <v>0</v>
      </c>
    </row>
    <row r="293" spans="1:27">
      <c r="A293" s="72">
        <v>41122</v>
      </c>
      <c r="B293" t="s">
        <v>387</v>
      </c>
      <c r="C293" s="69" t="s">
        <v>437</v>
      </c>
      <c r="D293" s="69" t="s">
        <v>411</v>
      </c>
      <c r="E293" s="69" t="s">
        <v>414</v>
      </c>
      <c r="F293" s="69" t="s">
        <v>406</v>
      </c>
      <c r="G293" s="73" t="str">
        <f t="shared" si="4"/>
        <v>below</v>
      </c>
      <c r="H293" s="69">
        <v>2.7</v>
      </c>
      <c r="I293" s="69">
        <v>0.91500000000000004</v>
      </c>
      <c r="J293" s="69">
        <v>4.1219999999999999</v>
      </c>
      <c r="K293" s="69">
        <v>0.89300000000000002</v>
      </c>
      <c r="L293" s="69">
        <v>0.73599999999999999</v>
      </c>
      <c r="M293" s="69">
        <v>0</v>
      </c>
      <c r="N293" s="69">
        <v>0.109</v>
      </c>
      <c r="O293" s="69">
        <v>5.3999999999999999E-2</v>
      </c>
      <c r="P293" s="69">
        <v>5.8999999999999997E-2</v>
      </c>
      <c r="Q293" s="69">
        <v>4.7110000000000003</v>
      </c>
      <c r="R293" s="69">
        <v>1.0009999999999999</v>
      </c>
      <c r="S293" s="69">
        <v>1.8979999999999999</v>
      </c>
      <c r="T293" s="69">
        <v>1.839</v>
      </c>
      <c r="U293" s="69">
        <v>1.075</v>
      </c>
      <c r="V293" s="69">
        <v>0.65300000000000002</v>
      </c>
      <c r="W293" s="71">
        <v>1.3843333330000001</v>
      </c>
      <c r="X293" s="71">
        <v>0.374749004</v>
      </c>
      <c r="Y293" s="69">
        <v>15</v>
      </c>
      <c r="Z293" s="71">
        <v>34.608333330000001</v>
      </c>
      <c r="AA293" s="71">
        <v>9.3687250960000004</v>
      </c>
    </row>
    <row r="294" spans="1:27">
      <c r="A294" s="72">
        <v>41122</v>
      </c>
      <c r="B294" t="s">
        <v>387</v>
      </c>
      <c r="C294" s="69" t="s">
        <v>437</v>
      </c>
      <c r="D294" s="69" t="s">
        <v>411</v>
      </c>
      <c r="E294" s="69" t="s">
        <v>415</v>
      </c>
      <c r="F294" s="69" t="s">
        <v>403</v>
      </c>
      <c r="G294" s="73" t="str">
        <f t="shared" si="4"/>
        <v>new above</v>
      </c>
      <c r="H294" s="69">
        <v>0</v>
      </c>
      <c r="I294" s="69">
        <v>0</v>
      </c>
      <c r="J294" s="69">
        <v>0</v>
      </c>
      <c r="K294" s="69">
        <v>0</v>
      </c>
      <c r="L294" s="69">
        <v>0</v>
      </c>
      <c r="M294" s="69">
        <v>0</v>
      </c>
      <c r="N294" s="69">
        <v>0</v>
      </c>
      <c r="O294" s="69">
        <v>0</v>
      </c>
      <c r="P294" s="69">
        <v>0</v>
      </c>
      <c r="Q294" s="69">
        <v>0</v>
      </c>
      <c r="R294" s="69">
        <v>0.54900000000000004</v>
      </c>
      <c r="S294" s="69">
        <v>4.5999999999999999E-2</v>
      </c>
      <c r="T294" s="69">
        <v>0.13300000000000001</v>
      </c>
      <c r="U294" s="69">
        <v>0.27600000000000002</v>
      </c>
      <c r="V294" s="69">
        <v>5.8000000000000003E-2</v>
      </c>
      <c r="W294" s="71">
        <v>7.0800000000000002E-2</v>
      </c>
      <c r="X294" s="71">
        <v>3.9373449999999997E-2</v>
      </c>
      <c r="Y294" s="69">
        <v>15</v>
      </c>
      <c r="Z294" s="71">
        <v>1.77</v>
      </c>
      <c r="AA294" s="71">
        <v>0.98433625199999997</v>
      </c>
    </row>
    <row r="295" spans="1:27">
      <c r="A295" s="72">
        <v>41122</v>
      </c>
      <c r="B295" t="s">
        <v>387</v>
      </c>
      <c r="C295" s="69" t="s">
        <v>437</v>
      </c>
      <c r="D295" s="69" t="s">
        <v>411</v>
      </c>
      <c r="E295" s="69" t="s">
        <v>415</v>
      </c>
      <c r="F295" s="69" t="s">
        <v>404</v>
      </c>
      <c r="G295" s="73" t="str">
        <f t="shared" si="4"/>
        <v>old above</v>
      </c>
      <c r="H295" s="69">
        <v>0</v>
      </c>
      <c r="I295" s="69">
        <v>0</v>
      </c>
      <c r="J295" s="69">
        <v>0</v>
      </c>
      <c r="K295" s="69">
        <v>0</v>
      </c>
      <c r="L295" s="69">
        <v>0</v>
      </c>
      <c r="M295" s="69">
        <v>0</v>
      </c>
      <c r="N295" s="69">
        <v>0</v>
      </c>
      <c r="O295" s="69">
        <v>0</v>
      </c>
      <c r="P295" s="69">
        <v>0</v>
      </c>
      <c r="Q295" s="69">
        <v>0</v>
      </c>
      <c r="R295" s="69">
        <v>1.931</v>
      </c>
      <c r="S295" s="69">
        <v>0.50900000000000001</v>
      </c>
      <c r="T295" s="69">
        <v>1.5269999999999999</v>
      </c>
      <c r="U295" s="69">
        <v>2.5219999999999998</v>
      </c>
      <c r="V295" s="69">
        <v>0.441</v>
      </c>
      <c r="W295" s="71">
        <v>0.46200000000000002</v>
      </c>
      <c r="X295" s="71">
        <v>0.21461899800000001</v>
      </c>
      <c r="Y295" s="69">
        <v>15</v>
      </c>
      <c r="Z295" s="71">
        <v>11.55</v>
      </c>
      <c r="AA295" s="71">
        <v>5.3654749490000002</v>
      </c>
    </row>
    <row r="296" spans="1:27">
      <c r="A296" s="72">
        <v>41122</v>
      </c>
      <c r="B296" t="s">
        <v>387</v>
      </c>
      <c r="C296" s="69" t="s">
        <v>437</v>
      </c>
      <c r="D296" s="69" t="s">
        <v>411</v>
      </c>
      <c r="E296" s="69" t="s">
        <v>415</v>
      </c>
      <c r="F296" s="69" t="s">
        <v>405</v>
      </c>
      <c r="G296" s="73" t="str">
        <f t="shared" si="4"/>
        <v>new above</v>
      </c>
      <c r="H296" s="69">
        <v>0</v>
      </c>
      <c r="I296" s="69">
        <v>0</v>
      </c>
      <c r="J296" s="69">
        <v>0</v>
      </c>
      <c r="K296" s="69">
        <v>0</v>
      </c>
      <c r="L296" s="69">
        <v>0</v>
      </c>
      <c r="M296" s="69">
        <v>0</v>
      </c>
      <c r="N296" s="69">
        <v>0</v>
      </c>
      <c r="O296" s="69">
        <v>0</v>
      </c>
      <c r="P296" s="69">
        <v>0</v>
      </c>
      <c r="Q296" s="69">
        <v>0</v>
      </c>
      <c r="R296" s="69">
        <v>0</v>
      </c>
      <c r="S296" s="69">
        <v>0</v>
      </c>
      <c r="T296" s="69">
        <v>0</v>
      </c>
      <c r="U296" s="69">
        <v>0</v>
      </c>
      <c r="V296" s="69">
        <v>0</v>
      </c>
      <c r="W296" s="71">
        <v>0</v>
      </c>
      <c r="X296" s="71">
        <v>0</v>
      </c>
      <c r="Y296" s="69">
        <v>15</v>
      </c>
      <c r="Z296" s="71">
        <v>0</v>
      </c>
      <c r="AA296" s="71">
        <v>0</v>
      </c>
    </row>
    <row r="297" spans="1:27">
      <c r="A297" s="72">
        <v>41122</v>
      </c>
      <c r="B297" t="s">
        <v>387</v>
      </c>
      <c r="C297" s="69" t="s">
        <v>437</v>
      </c>
      <c r="D297" s="69" t="s">
        <v>411</v>
      </c>
      <c r="E297" s="69" t="s">
        <v>415</v>
      </c>
      <c r="F297" s="69" t="s">
        <v>406</v>
      </c>
      <c r="G297" s="73" t="str">
        <f t="shared" si="4"/>
        <v>below</v>
      </c>
      <c r="H297" s="69">
        <v>0</v>
      </c>
      <c r="I297" s="69">
        <v>0</v>
      </c>
      <c r="J297" s="69">
        <v>0</v>
      </c>
      <c r="K297" s="69">
        <v>0</v>
      </c>
      <c r="L297" s="69">
        <v>0</v>
      </c>
      <c r="M297" s="69">
        <v>0</v>
      </c>
      <c r="N297" s="69">
        <v>0</v>
      </c>
      <c r="O297" s="69">
        <v>0</v>
      </c>
      <c r="P297" s="69">
        <v>0</v>
      </c>
      <c r="Q297" s="69">
        <v>0</v>
      </c>
      <c r="R297" s="69">
        <v>0.96699999999999997</v>
      </c>
      <c r="S297" s="69">
        <v>2.2120000000000002</v>
      </c>
      <c r="T297" s="69">
        <v>1.6060000000000001</v>
      </c>
      <c r="U297" s="69">
        <v>0.246</v>
      </c>
      <c r="V297" s="69">
        <v>0</v>
      </c>
      <c r="W297" s="71">
        <v>0.33539999999999998</v>
      </c>
      <c r="X297" s="71">
        <v>0.179687395</v>
      </c>
      <c r="Y297" s="69">
        <v>15</v>
      </c>
      <c r="Z297" s="71">
        <v>8.3849999999999998</v>
      </c>
      <c r="AA297" s="71">
        <v>4.4921848799999999</v>
      </c>
    </row>
    <row r="298" spans="1:27">
      <c r="A298" s="72">
        <v>41122</v>
      </c>
      <c r="B298" t="s">
        <v>387</v>
      </c>
      <c r="C298" s="69" t="s">
        <v>437</v>
      </c>
      <c r="D298" s="69" t="s">
        <v>411</v>
      </c>
      <c r="E298" s="69" t="s">
        <v>416</v>
      </c>
      <c r="F298" s="69" t="s">
        <v>402</v>
      </c>
      <c r="G298" s="73" t="str">
        <f t="shared" si="4"/>
        <v>new above</v>
      </c>
      <c r="H298" s="69">
        <v>0</v>
      </c>
      <c r="I298" s="69">
        <v>0</v>
      </c>
      <c r="J298" s="69">
        <v>0</v>
      </c>
      <c r="K298" s="69">
        <v>0</v>
      </c>
      <c r="L298" s="69">
        <v>0</v>
      </c>
      <c r="M298" s="69">
        <v>0</v>
      </c>
      <c r="N298" s="69">
        <v>0</v>
      </c>
      <c r="O298" s="69">
        <v>0</v>
      </c>
      <c r="P298" s="69">
        <v>0</v>
      </c>
      <c r="Q298" s="69">
        <v>0</v>
      </c>
      <c r="R298" s="69">
        <v>1.3720000000000001</v>
      </c>
      <c r="S298" s="69">
        <v>0.81799999999999995</v>
      </c>
      <c r="T298" s="69">
        <v>3.3000000000000002E-2</v>
      </c>
      <c r="U298" s="69">
        <v>1.083</v>
      </c>
      <c r="V298" s="69">
        <v>0.66500000000000004</v>
      </c>
      <c r="W298" s="71">
        <v>0.26473333300000002</v>
      </c>
      <c r="X298" s="71">
        <v>0.12182061199999999</v>
      </c>
      <c r="Y298" s="69">
        <v>15</v>
      </c>
      <c r="Z298" s="71">
        <v>6.6183333329999998</v>
      </c>
      <c r="AA298" s="71">
        <v>3.0455153080000001</v>
      </c>
    </row>
    <row r="299" spans="1:27">
      <c r="A299" s="72">
        <v>41122</v>
      </c>
      <c r="B299" t="s">
        <v>387</v>
      </c>
      <c r="C299" s="69" t="s">
        <v>437</v>
      </c>
      <c r="D299" s="69" t="s">
        <v>411</v>
      </c>
      <c r="E299" s="69" t="s">
        <v>416</v>
      </c>
      <c r="F299" s="69" t="s">
        <v>403</v>
      </c>
      <c r="G299" s="73" t="str">
        <f t="shared" si="4"/>
        <v>new above</v>
      </c>
      <c r="H299" s="69">
        <v>0</v>
      </c>
      <c r="I299" s="69">
        <v>0</v>
      </c>
      <c r="J299" s="69">
        <v>0</v>
      </c>
      <c r="K299" s="69">
        <v>0</v>
      </c>
      <c r="L299" s="69">
        <v>0</v>
      </c>
      <c r="M299" s="69">
        <v>0</v>
      </c>
      <c r="N299" s="69">
        <v>0</v>
      </c>
      <c r="O299" s="69">
        <v>0</v>
      </c>
      <c r="P299" s="69">
        <v>0</v>
      </c>
      <c r="Q299" s="69">
        <v>0</v>
      </c>
      <c r="R299" s="69">
        <v>0.28799999999999998</v>
      </c>
      <c r="S299" s="69">
        <v>0.14000000000000001</v>
      </c>
      <c r="T299" s="69">
        <v>1.4999999999999999E-2</v>
      </c>
      <c r="U299" s="69">
        <v>0.23200000000000001</v>
      </c>
      <c r="V299" s="69">
        <v>0.15</v>
      </c>
      <c r="W299" s="71">
        <v>5.5E-2</v>
      </c>
      <c r="X299" s="71">
        <v>2.5233953E-2</v>
      </c>
      <c r="Y299" s="69">
        <v>15</v>
      </c>
      <c r="Z299" s="71">
        <v>1.375</v>
      </c>
      <c r="AA299" s="71">
        <v>0.630848823</v>
      </c>
    </row>
    <row r="300" spans="1:27">
      <c r="A300" s="72">
        <v>41122</v>
      </c>
      <c r="B300" t="s">
        <v>387</v>
      </c>
      <c r="C300" s="69" t="s">
        <v>437</v>
      </c>
      <c r="D300" s="69" t="s">
        <v>411</v>
      </c>
      <c r="E300" s="69" t="s">
        <v>416</v>
      </c>
      <c r="F300" s="69" t="s">
        <v>413</v>
      </c>
      <c r="G300" s="73" t="str">
        <f t="shared" si="4"/>
        <v>old above</v>
      </c>
      <c r="H300" s="69">
        <v>0</v>
      </c>
      <c r="I300" s="69">
        <v>0</v>
      </c>
      <c r="J300" s="69">
        <v>0</v>
      </c>
      <c r="K300" s="69">
        <v>0</v>
      </c>
      <c r="L300" s="69">
        <v>0</v>
      </c>
      <c r="M300" s="69">
        <v>0</v>
      </c>
      <c r="N300" s="69">
        <v>0</v>
      </c>
      <c r="O300" s="69">
        <v>0</v>
      </c>
      <c r="P300" s="69">
        <v>0</v>
      </c>
      <c r="Q300" s="69">
        <v>0</v>
      </c>
      <c r="R300" s="69">
        <v>0.26900000000000002</v>
      </c>
      <c r="S300" s="69">
        <v>0.51500000000000001</v>
      </c>
      <c r="T300" s="69">
        <v>1.9E-2</v>
      </c>
      <c r="U300" s="69">
        <v>1.038</v>
      </c>
      <c r="V300" s="69">
        <v>0.17499999999999999</v>
      </c>
      <c r="W300" s="71">
        <v>0.13439999999999999</v>
      </c>
      <c r="X300" s="71">
        <v>7.4803412E-2</v>
      </c>
      <c r="Y300" s="69">
        <v>15</v>
      </c>
      <c r="Z300" s="71">
        <v>3.36</v>
      </c>
      <c r="AA300" s="71">
        <v>1.8700853049999999</v>
      </c>
    </row>
    <row r="301" spans="1:27">
      <c r="A301" s="72">
        <v>41122</v>
      </c>
      <c r="B301" t="s">
        <v>387</v>
      </c>
      <c r="C301" s="69" t="s">
        <v>437</v>
      </c>
      <c r="D301" s="69" t="s">
        <v>411</v>
      </c>
      <c r="E301" s="69" t="s">
        <v>416</v>
      </c>
      <c r="F301" s="69" t="s">
        <v>404</v>
      </c>
      <c r="G301" s="73" t="str">
        <f t="shared" si="4"/>
        <v>old above</v>
      </c>
      <c r="H301" s="69">
        <v>0</v>
      </c>
      <c r="I301" s="69">
        <v>0</v>
      </c>
      <c r="J301" s="69">
        <v>0</v>
      </c>
      <c r="K301" s="69">
        <v>0</v>
      </c>
      <c r="L301" s="69">
        <v>0</v>
      </c>
      <c r="M301" s="69">
        <v>0</v>
      </c>
      <c r="N301" s="69">
        <v>0</v>
      </c>
      <c r="O301" s="69">
        <v>0</v>
      </c>
      <c r="P301" s="69">
        <v>0</v>
      </c>
      <c r="Q301" s="69">
        <v>0</v>
      </c>
      <c r="R301" s="69">
        <v>1.282</v>
      </c>
      <c r="S301" s="69">
        <v>1.661</v>
      </c>
      <c r="T301" s="69">
        <v>3.6999999999999998E-2</v>
      </c>
      <c r="U301" s="69">
        <v>1.032</v>
      </c>
      <c r="V301" s="69">
        <v>0.11899999999999999</v>
      </c>
      <c r="W301" s="71">
        <v>0.27539999999999998</v>
      </c>
      <c r="X301" s="71">
        <v>0.143847168</v>
      </c>
      <c r="Y301" s="69">
        <v>15</v>
      </c>
      <c r="Z301" s="71">
        <v>6.8849999999999998</v>
      </c>
      <c r="AA301" s="71">
        <v>3.5961791889999999</v>
      </c>
    </row>
    <row r="302" spans="1:27">
      <c r="A302" s="72">
        <v>41122</v>
      </c>
      <c r="B302" t="s">
        <v>387</v>
      </c>
      <c r="C302" s="69" t="s">
        <v>437</v>
      </c>
      <c r="D302" s="69" t="s">
        <v>411</v>
      </c>
      <c r="E302" s="69" t="s">
        <v>416</v>
      </c>
      <c r="F302" s="69" t="s">
        <v>405</v>
      </c>
      <c r="G302" s="73" t="str">
        <f t="shared" si="4"/>
        <v>new above</v>
      </c>
      <c r="H302" s="69">
        <v>0</v>
      </c>
      <c r="I302" s="69">
        <v>0</v>
      </c>
      <c r="J302" s="69">
        <v>0</v>
      </c>
      <c r="K302" s="69">
        <v>0</v>
      </c>
      <c r="L302" s="69">
        <v>0</v>
      </c>
      <c r="M302" s="69">
        <v>0</v>
      </c>
      <c r="N302" s="69">
        <v>0</v>
      </c>
      <c r="O302" s="69">
        <v>0</v>
      </c>
      <c r="P302" s="69">
        <v>0</v>
      </c>
      <c r="Q302" s="69">
        <v>0</v>
      </c>
      <c r="R302" s="69">
        <v>1.7000000000000001E-2</v>
      </c>
      <c r="S302" s="69">
        <v>3.6999999999999998E-2</v>
      </c>
      <c r="T302" s="69">
        <v>0</v>
      </c>
      <c r="U302" s="69">
        <v>2.5000000000000001E-2</v>
      </c>
      <c r="V302" s="69">
        <v>0</v>
      </c>
      <c r="W302" s="71">
        <v>5.266667E-3</v>
      </c>
      <c r="X302" s="71">
        <v>2.9816370000000001E-3</v>
      </c>
      <c r="Y302" s="69">
        <v>15</v>
      </c>
      <c r="Z302" s="71">
        <v>0.13166666699999999</v>
      </c>
      <c r="AA302" s="71">
        <v>7.4540922999999995E-2</v>
      </c>
    </row>
    <row r="303" spans="1:27">
      <c r="A303" s="72">
        <v>41122</v>
      </c>
      <c r="B303" t="s">
        <v>387</v>
      </c>
      <c r="C303" s="69" t="s">
        <v>437</v>
      </c>
      <c r="D303" s="69" t="s">
        <v>411</v>
      </c>
      <c r="E303" s="69" t="s">
        <v>416</v>
      </c>
      <c r="F303" s="69" t="s">
        <v>406</v>
      </c>
      <c r="G303" s="73" t="str">
        <f t="shared" si="4"/>
        <v>below</v>
      </c>
      <c r="H303" s="69">
        <v>0</v>
      </c>
      <c r="I303" s="69">
        <v>0</v>
      </c>
      <c r="J303" s="69">
        <v>0</v>
      </c>
      <c r="K303" s="69">
        <v>0</v>
      </c>
      <c r="L303" s="69">
        <v>0</v>
      </c>
      <c r="M303" s="69">
        <v>0</v>
      </c>
      <c r="N303" s="69">
        <v>0</v>
      </c>
      <c r="O303" s="69">
        <v>0</v>
      </c>
      <c r="P303" s="69">
        <v>0</v>
      </c>
      <c r="Q303" s="69">
        <v>0</v>
      </c>
      <c r="R303" s="69">
        <v>0.38200000000000001</v>
      </c>
      <c r="S303" s="69">
        <v>1.276</v>
      </c>
      <c r="T303" s="69">
        <v>1.9E-2</v>
      </c>
      <c r="U303" s="69">
        <v>0.79400000000000004</v>
      </c>
      <c r="V303" s="69">
        <v>0.496</v>
      </c>
      <c r="W303" s="71">
        <v>0.1978</v>
      </c>
      <c r="X303" s="71">
        <v>9.9140121999999997E-2</v>
      </c>
      <c r="Y303" s="69">
        <v>15</v>
      </c>
      <c r="Z303" s="71">
        <v>4.9450000000000003</v>
      </c>
      <c r="AA303" s="71">
        <v>2.4785030520000002</v>
      </c>
    </row>
    <row r="304" spans="1:27">
      <c r="A304" s="72">
        <v>41122</v>
      </c>
      <c r="B304" t="s">
        <v>387</v>
      </c>
      <c r="C304" s="69" t="s">
        <v>437</v>
      </c>
      <c r="D304" s="69" t="s">
        <v>411</v>
      </c>
      <c r="E304" s="69" t="s">
        <v>417</v>
      </c>
      <c r="F304" s="69" t="s">
        <v>402</v>
      </c>
      <c r="G304" s="73" t="str">
        <f t="shared" si="4"/>
        <v>new above</v>
      </c>
      <c r="H304" s="69">
        <v>0</v>
      </c>
      <c r="I304" s="69">
        <v>0</v>
      </c>
      <c r="J304" s="69">
        <v>0</v>
      </c>
      <c r="K304" s="69">
        <v>0</v>
      </c>
      <c r="L304" s="69">
        <v>4.5999999999999999E-2</v>
      </c>
      <c r="M304" s="69">
        <v>0</v>
      </c>
      <c r="N304" s="69">
        <v>0</v>
      </c>
      <c r="O304" s="69">
        <v>0</v>
      </c>
      <c r="P304" s="69">
        <v>0</v>
      </c>
      <c r="Q304" s="69">
        <v>0</v>
      </c>
      <c r="R304" s="69">
        <v>0.11600000000000001</v>
      </c>
      <c r="S304" s="69">
        <v>0.62</v>
      </c>
      <c r="T304" s="69">
        <v>4.2999999999999997E-2</v>
      </c>
      <c r="U304" s="69">
        <v>1.3580000000000001</v>
      </c>
      <c r="V304" s="69">
        <v>0.47799999999999998</v>
      </c>
      <c r="W304" s="71">
        <v>0.1774</v>
      </c>
      <c r="X304" s="71">
        <v>9.7648729000000004E-2</v>
      </c>
      <c r="Y304" s="69">
        <v>15</v>
      </c>
      <c r="Z304" s="71">
        <v>4.4349999999999996</v>
      </c>
      <c r="AA304" s="71">
        <v>2.4412182260000002</v>
      </c>
    </row>
    <row r="305" spans="1:27">
      <c r="A305" s="72">
        <v>41122</v>
      </c>
      <c r="B305" t="s">
        <v>387</v>
      </c>
      <c r="C305" s="69" t="s">
        <v>437</v>
      </c>
      <c r="D305" s="69" t="s">
        <v>411</v>
      </c>
      <c r="E305" s="69" t="s">
        <v>417</v>
      </c>
      <c r="F305" s="69" t="s">
        <v>403</v>
      </c>
      <c r="G305" s="73" t="str">
        <f t="shared" si="4"/>
        <v>new above</v>
      </c>
      <c r="H305" s="69">
        <v>0</v>
      </c>
      <c r="I305" s="69">
        <v>0</v>
      </c>
      <c r="J305" s="69">
        <v>0</v>
      </c>
      <c r="K305" s="69">
        <v>0</v>
      </c>
      <c r="L305" s="69">
        <v>1.9E-2</v>
      </c>
      <c r="M305" s="69">
        <v>0</v>
      </c>
      <c r="N305" s="69">
        <v>0</v>
      </c>
      <c r="O305" s="69">
        <v>0</v>
      </c>
      <c r="P305" s="69">
        <v>0</v>
      </c>
      <c r="Q305" s="69">
        <v>0</v>
      </c>
      <c r="R305" s="69">
        <v>2.7E-2</v>
      </c>
      <c r="S305" s="69">
        <v>0.14899999999999999</v>
      </c>
      <c r="T305" s="69">
        <v>1.7000000000000001E-2</v>
      </c>
      <c r="U305" s="69">
        <v>0.312</v>
      </c>
      <c r="V305" s="69">
        <v>0.159</v>
      </c>
      <c r="W305" s="71">
        <v>4.5533333000000002E-2</v>
      </c>
      <c r="X305" s="71">
        <v>2.3412017E-2</v>
      </c>
      <c r="Y305" s="69">
        <v>15</v>
      </c>
      <c r="Z305" s="71">
        <v>1.1383333330000001</v>
      </c>
      <c r="AA305" s="71">
        <v>0.58530042500000001</v>
      </c>
    </row>
    <row r="306" spans="1:27">
      <c r="A306" s="72">
        <v>41122</v>
      </c>
      <c r="B306" t="s">
        <v>387</v>
      </c>
      <c r="C306" s="69" t="s">
        <v>437</v>
      </c>
      <c r="D306" s="69" t="s">
        <v>411</v>
      </c>
      <c r="E306" s="69" t="s">
        <v>417</v>
      </c>
      <c r="F306" s="69" t="s">
        <v>413</v>
      </c>
      <c r="G306" s="73" t="str">
        <f t="shared" si="4"/>
        <v>old above</v>
      </c>
      <c r="H306" s="69">
        <v>0</v>
      </c>
      <c r="I306" s="69">
        <v>0</v>
      </c>
      <c r="J306" s="69">
        <v>0</v>
      </c>
      <c r="K306" s="69">
        <v>0</v>
      </c>
      <c r="L306" s="69">
        <v>0.30099999999999999</v>
      </c>
      <c r="M306" s="69">
        <v>0</v>
      </c>
      <c r="N306" s="69">
        <v>0</v>
      </c>
      <c r="O306" s="69">
        <v>0</v>
      </c>
      <c r="P306" s="69">
        <v>0</v>
      </c>
      <c r="Q306" s="69">
        <v>0</v>
      </c>
      <c r="R306" s="69">
        <v>7.4999999999999997E-2</v>
      </c>
      <c r="S306" s="69">
        <v>0.73499999999999999</v>
      </c>
      <c r="T306" s="69">
        <v>0.128</v>
      </c>
      <c r="U306" s="69">
        <v>1.8919999999999999</v>
      </c>
      <c r="V306" s="69">
        <v>9.4E-2</v>
      </c>
      <c r="W306" s="71">
        <v>0.215</v>
      </c>
      <c r="X306" s="71">
        <v>0.12998095100000001</v>
      </c>
      <c r="Y306" s="69">
        <v>15</v>
      </c>
      <c r="Z306" s="71">
        <v>5.375</v>
      </c>
      <c r="AA306" s="71">
        <v>3.2495237750000001</v>
      </c>
    </row>
    <row r="307" spans="1:27">
      <c r="A307" s="72">
        <v>41122</v>
      </c>
      <c r="B307" t="s">
        <v>387</v>
      </c>
      <c r="C307" s="69" t="s">
        <v>437</v>
      </c>
      <c r="D307" s="69" t="s">
        <v>411</v>
      </c>
      <c r="E307" s="69" t="s">
        <v>417</v>
      </c>
      <c r="F307" s="69" t="s">
        <v>404</v>
      </c>
      <c r="G307" s="73" t="str">
        <f t="shared" si="4"/>
        <v>old above</v>
      </c>
      <c r="H307" s="69">
        <v>0</v>
      </c>
      <c r="I307" s="69">
        <v>0</v>
      </c>
      <c r="J307" s="69">
        <v>0</v>
      </c>
      <c r="K307" s="69">
        <v>0</v>
      </c>
      <c r="L307" s="69">
        <v>0.68300000000000005</v>
      </c>
      <c r="M307" s="69">
        <v>0</v>
      </c>
      <c r="N307" s="69">
        <v>0</v>
      </c>
      <c r="O307" s="69">
        <v>0</v>
      </c>
      <c r="P307" s="69">
        <v>0</v>
      </c>
      <c r="Q307" s="69">
        <v>0</v>
      </c>
      <c r="R307" s="69">
        <v>0.67</v>
      </c>
      <c r="S307" s="69">
        <v>1.835</v>
      </c>
      <c r="T307" s="69">
        <v>0.13800000000000001</v>
      </c>
      <c r="U307" s="69">
        <v>2.48</v>
      </c>
      <c r="V307" s="69">
        <v>0.73899999999999999</v>
      </c>
      <c r="W307" s="71">
        <v>0.43633333299999999</v>
      </c>
      <c r="X307" s="71">
        <v>0.19690918099999999</v>
      </c>
      <c r="Y307" s="69">
        <v>15</v>
      </c>
      <c r="Z307" s="71">
        <v>10.90833333</v>
      </c>
      <c r="AA307" s="71">
        <v>4.9227295150000003</v>
      </c>
    </row>
    <row r="308" spans="1:27">
      <c r="A308" s="72">
        <v>41122</v>
      </c>
      <c r="B308" t="s">
        <v>387</v>
      </c>
      <c r="C308" s="69" t="s">
        <v>437</v>
      </c>
      <c r="D308" s="69" t="s">
        <v>411</v>
      </c>
      <c r="E308" s="69" t="s">
        <v>417</v>
      </c>
      <c r="F308" s="69" t="s">
        <v>405</v>
      </c>
      <c r="G308" s="73" t="str">
        <f t="shared" si="4"/>
        <v>new above</v>
      </c>
      <c r="H308" s="69">
        <v>0</v>
      </c>
      <c r="I308" s="69">
        <v>0</v>
      </c>
      <c r="J308" s="69">
        <v>0</v>
      </c>
      <c r="K308" s="69">
        <v>0</v>
      </c>
      <c r="L308" s="69">
        <v>0</v>
      </c>
      <c r="M308" s="69">
        <v>0</v>
      </c>
      <c r="N308" s="69">
        <v>0</v>
      </c>
      <c r="O308" s="69">
        <v>0</v>
      </c>
      <c r="P308" s="69">
        <v>0</v>
      </c>
      <c r="Q308" s="69">
        <v>0</v>
      </c>
      <c r="R308" s="69">
        <v>0</v>
      </c>
      <c r="S308" s="69">
        <v>0</v>
      </c>
      <c r="T308" s="69">
        <v>0</v>
      </c>
      <c r="U308" s="69">
        <v>0</v>
      </c>
      <c r="V308" s="69">
        <v>0</v>
      </c>
      <c r="W308" s="71">
        <v>0</v>
      </c>
      <c r="X308" s="71">
        <v>0</v>
      </c>
      <c r="Y308" s="69">
        <v>15</v>
      </c>
      <c r="Z308" s="71">
        <v>0</v>
      </c>
      <c r="AA308" s="71">
        <v>0</v>
      </c>
    </row>
    <row r="309" spans="1:27">
      <c r="A309" s="72">
        <v>41122</v>
      </c>
      <c r="B309" t="s">
        <v>387</v>
      </c>
      <c r="C309" s="69" t="s">
        <v>437</v>
      </c>
      <c r="D309" s="69" t="s">
        <v>411</v>
      </c>
      <c r="E309" s="69" t="s">
        <v>417</v>
      </c>
      <c r="F309" s="69" t="s">
        <v>406</v>
      </c>
      <c r="G309" s="73" t="str">
        <f t="shared" si="4"/>
        <v>below</v>
      </c>
      <c r="H309" s="69">
        <v>0</v>
      </c>
      <c r="I309" s="69">
        <v>0</v>
      </c>
      <c r="J309" s="69">
        <v>0</v>
      </c>
      <c r="K309" s="69">
        <v>0</v>
      </c>
      <c r="L309" s="69">
        <v>0.308</v>
      </c>
      <c r="M309" s="69">
        <v>0</v>
      </c>
      <c r="N309" s="69">
        <v>0</v>
      </c>
      <c r="O309" s="69">
        <v>0</v>
      </c>
      <c r="P309" s="69">
        <v>0</v>
      </c>
      <c r="Q309" s="69">
        <v>0</v>
      </c>
      <c r="R309" s="69">
        <v>0.32300000000000001</v>
      </c>
      <c r="S309" s="69">
        <v>0.43099999999999999</v>
      </c>
      <c r="T309" s="69">
        <v>0</v>
      </c>
      <c r="U309" s="69">
        <v>1.87</v>
      </c>
      <c r="V309" s="69">
        <v>0</v>
      </c>
      <c r="W309" s="71">
        <v>0.19546666700000001</v>
      </c>
      <c r="X309" s="71">
        <v>0.12552263599999999</v>
      </c>
      <c r="Y309" s="69">
        <v>15</v>
      </c>
      <c r="Z309" s="71">
        <v>4.8866666670000001</v>
      </c>
      <c r="AA309" s="71">
        <v>3.1380658920000002</v>
      </c>
    </row>
    <row r="310" spans="1:27">
      <c r="A310" s="72">
        <v>41122</v>
      </c>
      <c r="B310" t="s">
        <v>387</v>
      </c>
      <c r="C310" s="69" t="s">
        <v>437</v>
      </c>
      <c r="D310" s="69" t="s">
        <v>418</v>
      </c>
      <c r="E310" s="69" t="s">
        <v>419</v>
      </c>
      <c r="F310" s="69" t="s">
        <v>420</v>
      </c>
      <c r="G310" s="73" t="str">
        <f t="shared" si="4"/>
        <v>new above</v>
      </c>
      <c r="H310" s="69">
        <v>0.183</v>
      </c>
      <c r="I310" s="69">
        <v>4.2999999999999997E-2</v>
      </c>
      <c r="J310" s="69">
        <v>0.41499999999999998</v>
      </c>
      <c r="K310" s="69">
        <v>0.219</v>
      </c>
      <c r="L310" s="69">
        <v>0.39500000000000002</v>
      </c>
      <c r="M310" s="69">
        <v>0.39600000000000002</v>
      </c>
      <c r="N310" s="69">
        <v>0</v>
      </c>
      <c r="O310" s="69">
        <v>2.3E-2</v>
      </c>
      <c r="P310" s="69">
        <v>0</v>
      </c>
      <c r="Q310" s="69">
        <v>0.13300000000000001</v>
      </c>
      <c r="R310" s="69">
        <v>0</v>
      </c>
      <c r="S310" s="69">
        <v>0</v>
      </c>
      <c r="T310" s="69">
        <v>0</v>
      </c>
      <c r="U310" s="69">
        <v>0</v>
      </c>
      <c r="V310" s="69">
        <v>0</v>
      </c>
      <c r="W310" s="71">
        <v>0.120466667</v>
      </c>
      <c r="X310" s="71">
        <v>4.1912591999999999E-2</v>
      </c>
      <c r="Y310" s="69">
        <v>15</v>
      </c>
      <c r="Z310" s="71">
        <v>3.0116666670000001</v>
      </c>
      <c r="AA310" s="71">
        <v>1.0478148089999999</v>
      </c>
    </row>
    <row r="311" spans="1:27">
      <c r="A311" s="72">
        <v>41122</v>
      </c>
      <c r="B311" t="s">
        <v>387</v>
      </c>
      <c r="C311" s="69" t="s">
        <v>437</v>
      </c>
      <c r="D311" s="69" t="s">
        <v>418</v>
      </c>
      <c r="E311" s="69" t="s">
        <v>419</v>
      </c>
      <c r="F311" s="69" t="s">
        <v>421</v>
      </c>
      <c r="G311" s="73" t="str">
        <f t="shared" si="4"/>
        <v>below</v>
      </c>
      <c r="H311" s="69">
        <v>0.21199999999999999</v>
      </c>
      <c r="I311" s="69">
        <v>0.27</v>
      </c>
      <c r="J311" s="69">
        <v>1.8160000000000001</v>
      </c>
      <c r="K311" s="69">
        <v>1.081</v>
      </c>
      <c r="L311" s="69">
        <v>1.0620000000000001</v>
      </c>
      <c r="M311" s="69">
        <v>2.8</v>
      </c>
      <c r="N311" s="69">
        <v>0.215</v>
      </c>
      <c r="O311" s="69">
        <v>1.7000000000000001E-2</v>
      </c>
      <c r="P311" s="69">
        <v>0.31900000000000001</v>
      </c>
      <c r="Q311" s="69">
        <v>0.79700000000000004</v>
      </c>
      <c r="R311" s="69">
        <v>0.40100000000000002</v>
      </c>
      <c r="S311" s="69">
        <v>0.60299999999999998</v>
      </c>
      <c r="T311" s="69">
        <v>0</v>
      </c>
      <c r="U311" s="69">
        <v>0.22</v>
      </c>
      <c r="V311" s="69">
        <v>0.16900000000000001</v>
      </c>
      <c r="W311" s="71">
        <v>0.66546666700000001</v>
      </c>
      <c r="X311" s="71">
        <v>0.19873734400000001</v>
      </c>
      <c r="Y311" s="69">
        <v>15</v>
      </c>
      <c r="Z311" s="71">
        <v>16.63666667</v>
      </c>
      <c r="AA311" s="71">
        <v>4.9684336099999999</v>
      </c>
    </row>
    <row r="312" spans="1:27">
      <c r="A312" s="72">
        <v>41122</v>
      </c>
      <c r="B312" t="s">
        <v>387</v>
      </c>
      <c r="C312" s="69" t="s">
        <v>437</v>
      </c>
      <c r="D312" s="69" t="s">
        <v>418</v>
      </c>
      <c r="E312" s="69" t="s">
        <v>422</v>
      </c>
      <c r="F312" s="69" t="s">
        <v>420</v>
      </c>
      <c r="G312" s="73" t="str">
        <f t="shared" si="4"/>
        <v>new above</v>
      </c>
      <c r="H312" s="69">
        <v>0</v>
      </c>
      <c r="I312" s="69">
        <v>0</v>
      </c>
      <c r="J312" s="69">
        <v>0</v>
      </c>
      <c r="K312" s="69">
        <v>0</v>
      </c>
      <c r="L312" s="69">
        <v>0</v>
      </c>
      <c r="M312" s="69">
        <v>0</v>
      </c>
      <c r="N312" s="69">
        <v>0</v>
      </c>
      <c r="O312" s="69">
        <v>0.22700000000000001</v>
      </c>
      <c r="P312" s="69">
        <v>0</v>
      </c>
      <c r="Q312" s="69">
        <v>6.9000000000000006E-2</v>
      </c>
      <c r="R312" s="69">
        <v>0.58899999999999997</v>
      </c>
      <c r="S312" s="69">
        <v>0.152</v>
      </c>
      <c r="T312" s="69">
        <v>0.13200000000000001</v>
      </c>
      <c r="U312" s="69">
        <v>0.85299999999999998</v>
      </c>
      <c r="V312" s="69">
        <v>0.27200000000000002</v>
      </c>
      <c r="W312" s="71">
        <v>0.152933333</v>
      </c>
      <c r="X312" s="71">
        <v>6.5265134000000002E-2</v>
      </c>
      <c r="Y312" s="69">
        <v>15</v>
      </c>
      <c r="Z312" s="71">
        <v>3.8233333329999999</v>
      </c>
      <c r="AA312" s="71">
        <v>1.6316283620000001</v>
      </c>
    </row>
    <row r="313" spans="1:27">
      <c r="A313" s="72">
        <v>41122</v>
      </c>
      <c r="B313" t="s">
        <v>387</v>
      </c>
      <c r="C313" s="69" t="s">
        <v>437</v>
      </c>
      <c r="D313" s="69" t="s">
        <v>418</v>
      </c>
      <c r="E313" s="69" t="s">
        <v>422</v>
      </c>
      <c r="F313" s="69" t="s">
        <v>421</v>
      </c>
      <c r="G313" s="73" t="str">
        <f t="shared" si="4"/>
        <v>below</v>
      </c>
      <c r="H313" s="69">
        <v>0</v>
      </c>
      <c r="I313" s="69">
        <v>0</v>
      </c>
      <c r="J313" s="69">
        <v>0</v>
      </c>
      <c r="K313" s="69">
        <v>0</v>
      </c>
      <c r="L313" s="69">
        <v>0</v>
      </c>
      <c r="M313" s="69">
        <v>0</v>
      </c>
      <c r="N313" s="69">
        <v>0</v>
      </c>
      <c r="O313" s="69">
        <v>1.4</v>
      </c>
      <c r="P313" s="69">
        <v>0</v>
      </c>
      <c r="Q313" s="69">
        <v>0.16700000000000001</v>
      </c>
      <c r="R313" s="69">
        <v>1.8640000000000001</v>
      </c>
      <c r="S313" s="69">
        <v>0.48299999999999998</v>
      </c>
      <c r="T313" s="69">
        <v>0.56499999999999995</v>
      </c>
      <c r="U313" s="69">
        <v>2.448</v>
      </c>
      <c r="V313" s="69">
        <v>1.0840000000000001</v>
      </c>
      <c r="W313" s="71">
        <v>0.53406666700000005</v>
      </c>
      <c r="X313" s="71">
        <v>0.205915504</v>
      </c>
      <c r="Y313" s="69">
        <v>15</v>
      </c>
      <c r="Z313" s="71">
        <v>13.35166667</v>
      </c>
      <c r="AA313" s="71">
        <v>5.1478876079999996</v>
      </c>
    </row>
    <row r="314" spans="1:27">
      <c r="A314" s="72">
        <v>41122</v>
      </c>
      <c r="B314" t="s">
        <v>387</v>
      </c>
      <c r="C314" s="69" t="s">
        <v>437</v>
      </c>
      <c r="D314" s="69" t="s">
        <v>425</v>
      </c>
      <c r="E314" s="69" t="s">
        <v>426</v>
      </c>
      <c r="F314" s="69" t="s">
        <v>427</v>
      </c>
      <c r="G314" s="73" t="str">
        <f t="shared" si="4"/>
        <v/>
      </c>
      <c r="H314" s="69">
        <v>0</v>
      </c>
      <c r="I314" s="69">
        <v>0</v>
      </c>
      <c r="J314" s="69">
        <v>0</v>
      </c>
      <c r="K314" s="69">
        <v>0</v>
      </c>
      <c r="L314" s="69">
        <v>0</v>
      </c>
      <c r="M314" s="69">
        <v>0</v>
      </c>
      <c r="N314" s="69">
        <v>0.17699999999999999</v>
      </c>
      <c r="O314" s="69">
        <v>0</v>
      </c>
      <c r="P314" s="69">
        <v>0</v>
      </c>
      <c r="Q314" s="69">
        <v>0</v>
      </c>
      <c r="R314" s="69">
        <v>0</v>
      </c>
      <c r="S314" s="69">
        <v>0</v>
      </c>
      <c r="T314" s="69">
        <v>0</v>
      </c>
      <c r="U314" s="69">
        <v>0</v>
      </c>
      <c r="V314" s="69">
        <v>0</v>
      </c>
      <c r="W314" s="71">
        <v>1.18E-2</v>
      </c>
      <c r="X314" s="71">
        <v>1.18E-2</v>
      </c>
      <c r="Y314" s="69">
        <v>15</v>
      </c>
      <c r="Z314" s="71">
        <v>0.29499999999999998</v>
      </c>
      <c r="AA314" s="71">
        <v>0.29499999999999998</v>
      </c>
    </row>
    <row r="315" spans="1:27">
      <c r="A315" s="72">
        <v>41122</v>
      </c>
      <c r="B315" t="s">
        <v>387</v>
      </c>
      <c r="C315" s="69" t="s">
        <v>437</v>
      </c>
      <c r="D315" s="69" t="s">
        <v>425</v>
      </c>
      <c r="E315" s="69" t="s">
        <v>428</v>
      </c>
      <c r="F315" s="69" t="s">
        <v>427</v>
      </c>
      <c r="G315" s="73" t="str">
        <f t="shared" si="4"/>
        <v/>
      </c>
      <c r="H315" s="69">
        <v>0.47</v>
      </c>
      <c r="I315" s="69">
        <v>1.19</v>
      </c>
      <c r="J315" s="69">
        <v>0.01</v>
      </c>
      <c r="K315" s="69">
        <v>0.40200000000000002</v>
      </c>
      <c r="L315" s="69">
        <v>0.17699999999999999</v>
      </c>
      <c r="M315" s="69">
        <v>0.49399999999999999</v>
      </c>
      <c r="N315" s="69">
        <v>0</v>
      </c>
      <c r="O315" s="69">
        <v>0.40699999999999997</v>
      </c>
      <c r="P315" s="69">
        <v>0</v>
      </c>
      <c r="Q315" s="69">
        <v>0</v>
      </c>
      <c r="R315" s="69">
        <v>0.33600000000000002</v>
      </c>
      <c r="S315" s="69">
        <v>0.20200000000000001</v>
      </c>
      <c r="T315" s="69">
        <v>0.30599999999999999</v>
      </c>
      <c r="U315" s="69">
        <v>0</v>
      </c>
      <c r="V315" s="69">
        <v>0.16700000000000001</v>
      </c>
      <c r="W315" s="71">
        <v>0.27739999999999998</v>
      </c>
      <c r="X315" s="71">
        <v>8.0494944999999998E-2</v>
      </c>
      <c r="Y315" s="69">
        <v>15</v>
      </c>
      <c r="Z315" s="71">
        <v>6.9349999999999996</v>
      </c>
      <c r="AA315" s="71">
        <v>2.0123736280000002</v>
      </c>
    </row>
    <row r="316" spans="1:27">
      <c r="A316" s="72">
        <v>41122</v>
      </c>
      <c r="B316" t="s">
        <v>387</v>
      </c>
      <c r="C316" s="69" t="s">
        <v>437</v>
      </c>
      <c r="D316" s="69" t="s">
        <v>429</v>
      </c>
      <c r="E316" s="69" t="s">
        <v>430</v>
      </c>
      <c r="F316" s="69" t="s">
        <v>431</v>
      </c>
      <c r="G316" s="73" t="str">
        <f t="shared" si="4"/>
        <v>non-vascular</v>
      </c>
      <c r="H316" s="69">
        <v>0.60099999999999998</v>
      </c>
      <c r="I316" s="69">
        <v>0.109</v>
      </c>
      <c r="J316" s="69">
        <v>0.23599999999999999</v>
      </c>
      <c r="K316" s="69">
        <v>0.53</v>
      </c>
      <c r="L316" s="69">
        <v>0</v>
      </c>
      <c r="M316" s="69">
        <v>0</v>
      </c>
      <c r="N316" s="69">
        <v>0</v>
      </c>
      <c r="O316" s="69">
        <v>0</v>
      </c>
      <c r="P316" s="69">
        <v>0</v>
      </c>
      <c r="Q316" s="69">
        <v>0</v>
      </c>
      <c r="R316" s="69">
        <v>0.17699999999999999</v>
      </c>
      <c r="S316" s="69">
        <v>0.17399999999999999</v>
      </c>
      <c r="T316" s="69">
        <v>3.6999999999999998E-2</v>
      </c>
      <c r="U316" s="69">
        <v>0</v>
      </c>
      <c r="V316" s="69">
        <v>0.22</v>
      </c>
      <c r="W316" s="71">
        <v>0.13893333299999999</v>
      </c>
      <c r="X316" s="71">
        <v>5.0309277999999999E-2</v>
      </c>
      <c r="Y316" s="69">
        <v>15</v>
      </c>
      <c r="Z316" s="71">
        <v>3.4733333329999998</v>
      </c>
      <c r="AA316" s="71">
        <v>1.2577319600000001</v>
      </c>
    </row>
  </sheetData>
  <pageMargins left="0.7" right="0.7" top="0.75" bottom="0.75" header="0.3" footer="0.3"/>
  <pageSetup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M576"/>
  <sheetViews>
    <sheetView zoomScale="96" zoomScaleNormal="96" workbookViewId="0"/>
  </sheetViews>
  <sheetFormatPr defaultRowHeight="13.15"/>
  <cols>
    <col min="1" max="1" width="9.140625" style="5"/>
    <col min="2" max="2" width="71.28515625" style="5" bestFit="1" customWidth="1"/>
    <col min="3" max="3" width="17.140625" style="5" customWidth="1"/>
    <col min="4" max="257" width="9.140625" style="5"/>
    <col min="258" max="258" width="71.28515625" style="5" bestFit="1" customWidth="1"/>
    <col min="259" max="259" width="17.140625" style="5" customWidth="1"/>
    <col min="260" max="513" width="9.140625" style="5"/>
    <col min="514" max="514" width="71.28515625" style="5" bestFit="1" customWidth="1"/>
    <col min="515" max="515" width="17.140625" style="5" customWidth="1"/>
    <col min="516" max="769" width="9.140625" style="5"/>
    <col min="770" max="770" width="71.28515625" style="5" bestFit="1" customWidth="1"/>
    <col min="771" max="771" width="17.140625" style="5" customWidth="1"/>
    <col min="772" max="1025" width="9.140625" style="5"/>
    <col min="1026" max="1026" width="71.28515625" style="5" bestFit="1" customWidth="1"/>
    <col min="1027" max="1027" width="17.140625" style="5" customWidth="1"/>
    <col min="1028" max="1281" width="9.140625" style="5"/>
    <col min="1282" max="1282" width="71.28515625" style="5" bestFit="1" customWidth="1"/>
    <col min="1283" max="1283" width="17.140625" style="5" customWidth="1"/>
    <col min="1284" max="1537" width="9.140625" style="5"/>
    <col min="1538" max="1538" width="71.28515625" style="5" bestFit="1" customWidth="1"/>
    <col min="1539" max="1539" width="17.140625" style="5" customWidth="1"/>
    <col min="1540" max="1793" width="9.140625" style="5"/>
    <col min="1794" max="1794" width="71.28515625" style="5" bestFit="1" customWidth="1"/>
    <col min="1795" max="1795" width="17.140625" style="5" customWidth="1"/>
    <col min="1796" max="2049" width="9.140625" style="5"/>
    <col min="2050" max="2050" width="71.28515625" style="5" bestFit="1" customWidth="1"/>
    <col min="2051" max="2051" width="17.140625" style="5" customWidth="1"/>
    <col min="2052" max="2305" width="9.140625" style="5"/>
    <col min="2306" max="2306" width="71.28515625" style="5" bestFit="1" customWidth="1"/>
    <col min="2307" max="2307" width="17.140625" style="5" customWidth="1"/>
    <col min="2308" max="2561" width="9.140625" style="5"/>
    <col min="2562" max="2562" width="71.28515625" style="5" bestFit="1" customWidth="1"/>
    <col min="2563" max="2563" width="17.140625" style="5" customWidth="1"/>
    <col min="2564" max="2817" width="9.140625" style="5"/>
    <col min="2818" max="2818" width="71.28515625" style="5" bestFit="1" customWidth="1"/>
    <col min="2819" max="2819" width="17.140625" style="5" customWidth="1"/>
    <col min="2820" max="3073" width="9.140625" style="5"/>
    <col min="3074" max="3074" width="71.28515625" style="5" bestFit="1" customWidth="1"/>
    <col min="3075" max="3075" width="17.140625" style="5" customWidth="1"/>
    <col min="3076" max="3329" width="9.140625" style="5"/>
    <col min="3330" max="3330" width="71.28515625" style="5" bestFit="1" customWidth="1"/>
    <col min="3331" max="3331" width="17.140625" style="5" customWidth="1"/>
    <col min="3332" max="3585" width="9.140625" style="5"/>
    <col min="3586" max="3586" width="71.28515625" style="5" bestFit="1" customWidth="1"/>
    <col min="3587" max="3587" width="17.140625" style="5" customWidth="1"/>
    <col min="3588" max="3841" width="9.140625" style="5"/>
    <col min="3842" max="3842" width="71.28515625" style="5" bestFit="1" customWidth="1"/>
    <col min="3843" max="3843" width="17.140625" style="5" customWidth="1"/>
    <col min="3844" max="4097" width="9.140625" style="5"/>
    <col min="4098" max="4098" width="71.28515625" style="5" bestFit="1" customWidth="1"/>
    <col min="4099" max="4099" width="17.140625" style="5" customWidth="1"/>
    <col min="4100" max="4353" width="9.140625" style="5"/>
    <col min="4354" max="4354" width="71.28515625" style="5" bestFit="1" customWidth="1"/>
    <col min="4355" max="4355" width="17.140625" style="5" customWidth="1"/>
    <col min="4356" max="4609" width="9.140625" style="5"/>
    <col min="4610" max="4610" width="71.28515625" style="5" bestFit="1" customWidth="1"/>
    <col min="4611" max="4611" width="17.140625" style="5" customWidth="1"/>
    <col min="4612" max="4865" width="9.140625" style="5"/>
    <col min="4866" max="4866" width="71.28515625" style="5" bestFit="1" customWidth="1"/>
    <col min="4867" max="4867" width="17.140625" style="5" customWidth="1"/>
    <col min="4868" max="5121" width="9.140625" style="5"/>
    <col min="5122" max="5122" width="71.28515625" style="5" bestFit="1" customWidth="1"/>
    <col min="5123" max="5123" width="17.140625" style="5" customWidth="1"/>
    <col min="5124" max="5377" width="9.140625" style="5"/>
    <col min="5378" max="5378" width="71.28515625" style="5" bestFit="1" customWidth="1"/>
    <col min="5379" max="5379" width="17.140625" style="5" customWidth="1"/>
    <col min="5380" max="5633" width="9.140625" style="5"/>
    <col min="5634" max="5634" width="71.28515625" style="5" bestFit="1" customWidth="1"/>
    <col min="5635" max="5635" width="17.140625" style="5" customWidth="1"/>
    <col min="5636" max="5889" width="9.140625" style="5"/>
    <col min="5890" max="5890" width="71.28515625" style="5" bestFit="1" customWidth="1"/>
    <col min="5891" max="5891" width="17.140625" style="5" customWidth="1"/>
    <col min="5892" max="6145" width="9.140625" style="5"/>
    <col min="6146" max="6146" width="71.28515625" style="5" bestFit="1" customWidth="1"/>
    <col min="6147" max="6147" width="17.140625" style="5" customWidth="1"/>
    <col min="6148" max="6401" width="9.140625" style="5"/>
    <col min="6402" max="6402" width="71.28515625" style="5" bestFit="1" customWidth="1"/>
    <col min="6403" max="6403" width="17.140625" style="5" customWidth="1"/>
    <col min="6404" max="6657" width="9.140625" style="5"/>
    <col min="6658" max="6658" width="71.28515625" style="5" bestFit="1" customWidth="1"/>
    <col min="6659" max="6659" width="17.140625" style="5" customWidth="1"/>
    <col min="6660" max="6913" width="9.140625" style="5"/>
    <col min="6914" max="6914" width="71.28515625" style="5" bestFit="1" customWidth="1"/>
    <col min="6915" max="6915" width="17.140625" style="5" customWidth="1"/>
    <col min="6916" max="7169" width="9.140625" style="5"/>
    <col min="7170" max="7170" width="71.28515625" style="5" bestFit="1" customWidth="1"/>
    <col min="7171" max="7171" width="17.140625" style="5" customWidth="1"/>
    <col min="7172" max="7425" width="9.140625" style="5"/>
    <col min="7426" max="7426" width="71.28515625" style="5" bestFit="1" customWidth="1"/>
    <col min="7427" max="7427" width="17.140625" style="5" customWidth="1"/>
    <col min="7428" max="7681" width="9.140625" style="5"/>
    <col min="7682" max="7682" width="71.28515625" style="5" bestFit="1" customWidth="1"/>
    <col min="7683" max="7683" width="17.140625" style="5" customWidth="1"/>
    <col min="7684" max="7937" width="9.140625" style="5"/>
    <col min="7938" max="7938" width="71.28515625" style="5" bestFit="1" customWidth="1"/>
    <col min="7939" max="7939" width="17.140625" style="5" customWidth="1"/>
    <col min="7940" max="8193" width="9.140625" style="5"/>
    <col min="8194" max="8194" width="71.28515625" style="5" bestFit="1" customWidth="1"/>
    <col min="8195" max="8195" width="17.140625" style="5" customWidth="1"/>
    <col min="8196" max="8449" width="9.140625" style="5"/>
    <col min="8450" max="8450" width="71.28515625" style="5" bestFit="1" customWidth="1"/>
    <col min="8451" max="8451" width="17.140625" style="5" customWidth="1"/>
    <col min="8452" max="8705" width="9.140625" style="5"/>
    <col min="8706" max="8706" width="71.28515625" style="5" bestFit="1" customWidth="1"/>
    <col min="8707" max="8707" width="17.140625" style="5" customWidth="1"/>
    <col min="8708" max="8961" width="9.140625" style="5"/>
    <col min="8962" max="8962" width="71.28515625" style="5" bestFit="1" customWidth="1"/>
    <col min="8963" max="8963" width="17.140625" style="5" customWidth="1"/>
    <col min="8964" max="9217" width="9.140625" style="5"/>
    <col min="9218" max="9218" width="71.28515625" style="5" bestFit="1" customWidth="1"/>
    <col min="9219" max="9219" width="17.140625" style="5" customWidth="1"/>
    <col min="9220" max="9473" width="9.140625" style="5"/>
    <col min="9474" max="9474" width="71.28515625" style="5" bestFit="1" customWidth="1"/>
    <col min="9475" max="9475" width="17.140625" style="5" customWidth="1"/>
    <col min="9476" max="9729" width="9.140625" style="5"/>
    <col min="9730" max="9730" width="71.28515625" style="5" bestFit="1" customWidth="1"/>
    <col min="9731" max="9731" width="17.140625" style="5" customWidth="1"/>
    <col min="9732" max="9985" width="9.140625" style="5"/>
    <col min="9986" max="9986" width="71.28515625" style="5" bestFit="1" customWidth="1"/>
    <col min="9987" max="9987" width="17.140625" style="5" customWidth="1"/>
    <col min="9988" max="10241" width="9.140625" style="5"/>
    <col min="10242" max="10242" width="71.28515625" style="5" bestFit="1" customWidth="1"/>
    <col min="10243" max="10243" width="17.140625" style="5" customWidth="1"/>
    <col min="10244" max="10497" width="9.140625" style="5"/>
    <col min="10498" max="10498" width="71.28515625" style="5" bestFit="1" customWidth="1"/>
    <col min="10499" max="10499" width="17.140625" style="5" customWidth="1"/>
    <col min="10500" max="10753" width="9.140625" style="5"/>
    <col min="10754" max="10754" width="71.28515625" style="5" bestFit="1" customWidth="1"/>
    <col min="10755" max="10755" width="17.140625" style="5" customWidth="1"/>
    <col min="10756" max="11009" width="9.140625" style="5"/>
    <col min="11010" max="11010" width="71.28515625" style="5" bestFit="1" customWidth="1"/>
    <col min="11011" max="11011" width="17.140625" style="5" customWidth="1"/>
    <col min="11012" max="11265" width="9.140625" style="5"/>
    <col min="11266" max="11266" width="71.28515625" style="5" bestFit="1" customWidth="1"/>
    <col min="11267" max="11267" width="17.140625" style="5" customWidth="1"/>
    <col min="11268" max="11521" width="9.140625" style="5"/>
    <col min="11522" max="11522" width="71.28515625" style="5" bestFit="1" customWidth="1"/>
    <col min="11523" max="11523" width="17.140625" style="5" customWidth="1"/>
    <col min="11524" max="11777" width="9.140625" style="5"/>
    <col min="11778" max="11778" width="71.28515625" style="5" bestFit="1" customWidth="1"/>
    <col min="11779" max="11779" width="17.140625" style="5" customWidth="1"/>
    <col min="11780" max="12033" width="9.140625" style="5"/>
    <col min="12034" max="12034" width="71.28515625" style="5" bestFit="1" customWidth="1"/>
    <col min="12035" max="12035" width="17.140625" style="5" customWidth="1"/>
    <col min="12036" max="12289" width="9.140625" style="5"/>
    <col min="12290" max="12290" width="71.28515625" style="5" bestFit="1" customWidth="1"/>
    <col min="12291" max="12291" width="17.140625" style="5" customWidth="1"/>
    <col min="12292" max="12545" width="9.140625" style="5"/>
    <col min="12546" max="12546" width="71.28515625" style="5" bestFit="1" customWidth="1"/>
    <col min="12547" max="12547" width="17.140625" style="5" customWidth="1"/>
    <col min="12548" max="12801" width="9.140625" style="5"/>
    <col min="12802" max="12802" width="71.28515625" style="5" bestFit="1" customWidth="1"/>
    <col min="12803" max="12803" width="17.140625" style="5" customWidth="1"/>
    <col min="12804" max="13057" width="9.140625" style="5"/>
    <col min="13058" max="13058" width="71.28515625" style="5" bestFit="1" customWidth="1"/>
    <col min="13059" max="13059" width="17.140625" style="5" customWidth="1"/>
    <col min="13060" max="13313" width="9.140625" style="5"/>
    <col min="13314" max="13314" width="71.28515625" style="5" bestFit="1" customWidth="1"/>
    <col min="13315" max="13315" width="17.140625" style="5" customWidth="1"/>
    <col min="13316" max="13569" width="9.140625" style="5"/>
    <col min="13570" max="13570" width="71.28515625" style="5" bestFit="1" customWidth="1"/>
    <col min="13571" max="13571" width="17.140625" style="5" customWidth="1"/>
    <col min="13572" max="13825" width="9.140625" style="5"/>
    <col min="13826" max="13826" width="71.28515625" style="5" bestFit="1" customWidth="1"/>
    <col min="13827" max="13827" width="17.140625" style="5" customWidth="1"/>
    <col min="13828" max="14081" width="9.140625" style="5"/>
    <col min="14082" max="14082" width="71.28515625" style="5" bestFit="1" customWidth="1"/>
    <col min="14083" max="14083" width="17.140625" style="5" customWidth="1"/>
    <col min="14084" max="14337" width="9.140625" style="5"/>
    <col min="14338" max="14338" width="71.28515625" style="5" bestFit="1" customWidth="1"/>
    <col min="14339" max="14339" width="17.140625" style="5" customWidth="1"/>
    <col min="14340" max="14593" width="9.140625" style="5"/>
    <col min="14594" max="14594" width="71.28515625" style="5" bestFit="1" customWidth="1"/>
    <col min="14595" max="14595" width="17.140625" style="5" customWidth="1"/>
    <col min="14596" max="14849" width="9.140625" style="5"/>
    <col min="14850" max="14850" width="71.28515625" style="5" bestFit="1" customWidth="1"/>
    <col min="14851" max="14851" width="17.140625" style="5" customWidth="1"/>
    <col min="14852" max="15105" width="9.140625" style="5"/>
    <col min="15106" max="15106" width="71.28515625" style="5" bestFit="1" customWidth="1"/>
    <col min="15107" max="15107" width="17.140625" style="5" customWidth="1"/>
    <col min="15108" max="15361" width="9.140625" style="5"/>
    <col min="15362" max="15362" width="71.28515625" style="5" bestFit="1" customWidth="1"/>
    <col min="15363" max="15363" width="17.140625" style="5" customWidth="1"/>
    <col min="15364" max="15617" width="9.140625" style="5"/>
    <col min="15618" max="15618" width="71.28515625" style="5" bestFit="1" customWidth="1"/>
    <col min="15619" max="15619" width="17.140625" style="5" customWidth="1"/>
    <col min="15620" max="15873" width="9.140625" style="5"/>
    <col min="15874" max="15874" width="71.28515625" style="5" bestFit="1" customWidth="1"/>
    <col min="15875" max="15875" width="17.140625" style="5" customWidth="1"/>
    <col min="15876" max="16129" width="9.140625" style="5"/>
    <col min="16130" max="16130" width="71.28515625" style="5" bestFit="1" customWidth="1"/>
    <col min="16131" max="16131" width="17.140625" style="5" customWidth="1"/>
    <col min="16132" max="16384" width="9.140625" style="5"/>
  </cols>
  <sheetData>
    <row r="2" spans="1:13" ht="31.15">
      <c r="A2" s="64" t="s">
        <v>438</v>
      </c>
      <c r="B2" s="65" t="s">
        <v>65</v>
      </c>
      <c r="C2" s="65" t="s">
        <v>439</v>
      </c>
      <c r="D2" s="66" t="s">
        <v>440</v>
      </c>
      <c r="E2" s="66" t="s">
        <v>441</v>
      </c>
      <c r="F2" s="67" t="s">
        <v>442</v>
      </c>
      <c r="G2" s="65" t="s">
        <v>443</v>
      </c>
      <c r="H2" s="65" t="s">
        <v>444</v>
      </c>
      <c r="I2" s="65" t="s">
        <v>445</v>
      </c>
      <c r="J2" s="65" t="s">
        <v>446</v>
      </c>
      <c r="K2" s="68" t="s">
        <v>447</v>
      </c>
      <c r="L2" s="65" t="s">
        <v>448</v>
      </c>
      <c r="M2" s="65" t="s">
        <v>449</v>
      </c>
    </row>
    <row r="3" spans="1:13">
      <c r="A3" s="77">
        <v>1169</v>
      </c>
      <c r="B3" s="77" t="s">
        <v>450</v>
      </c>
      <c r="C3" s="77"/>
      <c r="D3" s="77">
        <v>68.99666666666667</v>
      </c>
      <c r="E3" s="77">
        <v>-150.21249999999998</v>
      </c>
      <c r="F3" s="77" t="s">
        <v>451</v>
      </c>
      <c r="G3" s="77" t="s">
        <v>452</v>
      </c>
      <c r="H3" s="77" t="s">
        <v>451</v>
      </c>
      <c r="I3" s="77" t="s">
        <v>451</v>
      </c>
      <c r="J3" s="77" t="s">
        <v>453</v>
      </c>
      <c r="K3" s="77" t="s">
        <v>451</v>
      </c>
      <c r="L3" s="77" t="s">
        <v>451</v>
      </c>
      <c r="M3" s="62" t="str">
        <f t="shared" ref="M3:M66" si="0">HYPERLINK("http://maps.google.com/maps?q="&amp;D3&amp;","&amp;E3,"View on Google Map")</f>
        <v>View on Google Map</v>
      </c>
    </row>
    <row r="4" spans="1:13">
      <c r="A4" s="77">
        <v>1170</v>
      </c>
      <c r="B4" s="77" t="s">
        <v>454</v>
      </c>
      <c r="C4" s="77"/>
      <c r="D4" s="77">
        <v>68.952222222222218</v>
      </c>
      <c r="E4" s="77">
        <v>-150.21249999999998</v>
      </c>
      <c r="F4" s="77" t="s">
        <v>451</v>
      </c>
      <c r="G4" s="77" t="s">
        <v>452</v>
      </c>
      <c r="H4" s="77" t="s">
        <v>451</v>
      </c>
      <c r="I4" s="77" t="s">
        <v>451</v>
      </c>
      <c r="J4" s="77" t="s">
        <v>453</v>
      </c>
      <c r="K4" s="77" t="s">
        <v>451</v>
      </c>
      <c r="L4" s="77" t="s">
        <v>451</v>
      </c>
      <c r="M4" s="62" t="str">
        <f t="shared" si="0"/>
        <v>View on Google Map</v>
      </c>
    </row>
    <row r="5" spans="1:13">
      <c r="A5" s="77">
        <v>1171</v>
      </c>
      <c r="B5" s="77" t="s">
        <v>455</v>
      </c>
      <c r="C5" s="77" t="s">
        <v>451</v>
      </c>
      <c r="D5" s="77">
        <v>68.934444444444452</v>
      </c>
      <c r="E5" s="77">
        <v>-150.2727777777778</v>
      </c>
      <c r="F5" s="77" t="s">
        <v>451</v>
      </c>
      <c r="G5" s="77" t="s">
        <v>452</v>
      </c>
      <c r="H5" s="77" t="s">
        <v>451</v>
      </c>
      <c r="I5" s="77" t="s">
        <v>451</v>
      </c>
      <c r="J5" s="77" t="s">
        <v>456</v>
      </c>
      <c r="K5" s="77" t="s">
        <v>451</v>
      </c>
      <c r="L5" s="77" t="s">
        <v>457</v>
      </c>
      <c r="M5" s="62" t="str">
        <f t="shared" si="0"/>
        <v>View on Google Map</v>
      </c>
    </row>
    <row r="6" spans="1:13">
      <c r="A6" s="77">
        <v>518</v>
      </c>
      <c r="B6" s="77" t="s">
        <v>458</v>
      </c>
      <c r="C6" s="77" t="s">
        <v>459</v>
      </c>
      <c r="D6" s="77">
        <v>68.900986000000003</v>
      </c>
      <c r="E6" s="77">
        <v>-151.308469</v>
      </c>
      <c r="F6" s="77">
        <v>350</v>
      </c>
      <c r="G6" s="77" t="s">
        <v>460</v>
      </c>
      <c r="H6" s="77" t="s">
        <v>451</v>
      </c>
      <c r="I6" s="77" t="s">
        <v>451</v>
      </c>
      <c r="J6" s="77" t="s">
        <v>461</v>
      </c>
      <c r="K6" s="77" t="s">
        <v>451</v>
      </c>
      <c r="L6" s="77" t="s">
        <v>462</v>
      </c>
      <c r="M6" s="62" t="str">
        <f t="shared" si="0"/>
        <v>View on Google Map</v>
      </c>
    </row>
    <row r="7" spans="1:13">
      <c r="A7" s="77">
        <v>478</v>
      </c>
      <c r="B7" s="77" t="s">
        <v>463</v>
      </c>
      <c r="C7" s="77" t="s">
        <v>451</v>
      </c>
      <c r="D7" s="77">
        <v>68.510069999999999</v>
      </c>
      <c r="E7" s="77">
        <v>-149.62691000000001</v>
      </c>
      <c r="F7" s="77">
        <v>996</v>
      </c>
      <c r="G7" s="77" t="s">
        <v>460</v>
      </c>
      <c r="H7" s="77" t="s">
        <v>451</v>
      </c>
      <c r="I7" s="77" t="s">
        <v>451</v>
      </c>
      <c r="J7" s="77" t="s">
        <v>461</v>
      </c>
      <c r="K7" s="77" t="s">
        <v>451</v>
      </c>
      <c r="L7" s="77" t="s">
        <v>451</v>
      </c>
      <c r="M7" s="62" t="str">
        <f t="shared" si="0"/>
        <v>View on Google Map</v>
      </c>
    </row>
    <row r="8" spans="1:13">
      <c r="A8" s="77">
        <v>479</v>
      </c>
      <c r="B8" s="77" t="s">
        <v>464</v>
      </c>
      <c r="C8" s="77" t="s">
        <v>451</v>
      </c>
      <c r="D8" s="77">
        <v>68.505080000000007</v>
      </c>
      <c r="E8" s="77">
        <v>-149.62766999999999</v>
      </c>
      <c r="F8" s="77">
        <v>986</v>
      </c>
      <c r="G8" s="77" t="s">
        <v>460</v>
      </c>
      <c r="H8" s="77" t="s">
        <v>451</v>
      </c>
      <c r="I8" s="77" t="s">
        <v>451</v>
      </c>
      <c r="J8" s="77" t="s">
        <v>461</v>
      </c>
      <c r="K8" s="77" t="s">
        <v>451</v>
      </c>
      <c r="L8" s="77" t="s">
        <v>451</v>
      </c>
      <c r="M8" s="62" t="str">
        <f t="shared" si="0"/>
        <v>View on Google Map</v>
      </c>
    </row>
    <row r="9" spans="1:13">
      <c r="A9" s="77">
        <v>480</v>
      </c>
      <c r="B9" s="77" t="s">
        <v>465</v>
      </c>
      <c r="C9" s="77" t="s">
        <v>451</v>
      </c>
      <c r="D9" s="77">
        <v>68.502449999999996</v>
      </c>
      <c r="E9" s="77">
        <v>-149.63137</v>
      </c>
      <c r="F9" s="77">
        <v>982</v>
      </c>
      <c r="G9" s="77" t="s">
        <v>460</v>
      </c>
      <c r="H9" s="77" t="s">
        <v>451</v>
      </c>
      <c r="I9" s="77" t="s">
        <v>451</v>
      </c>
      <c r="J9" s="77" t="s">
        <v>461</v>
      </c>
      <c r="K9" s="77" t="s">
        <v>451</v>
      </c>
      <c r="L9" s="77" t="s">
        <v>451</v>
      </c>
      <c r="M9" s="62" t="str">
        <f t="shared" si="0"/>
        <v>View on Google Map</v>
      </c>
    </row>
    <row r="10" spans="1:13">
      <c r="A10" s="77">
        <v>7</v>
      </c>
      <c r="B10" s="77" t="s">
        <v>466</v>
      </c>
      <c r="C10" s="77" t="s">
        <v>467</v>
      </c>
      <c r="D10" s="77">
        <v>68.95</v>
      </c>
      <c r="E10" s="77">
        <v>-148.86666666666667</v>
      </c>
      <c r="F10" s="77">
        <v>360</v>
      </c>
      <c r="G10" s="77" t="s">
        <v>468</v>
      </c>
      <c r="H10" s="77" t="s">
        <v>451</v>
      </c>
      <c r="I10" s="77" t="s">
        <v>451</v>
      </c>
      <c r="J10" s="77" t="s">
        <v>469</v>
      </c>
      <c r="K10" s="77" t="s">
        <v>451</v>
      </c>
      <c r="L10" s="77" t="s">
        <v>470</v>
      </c>
      <c r="M10" s="62" t="str">
        <f t="shared" si="0"/>
        <v>View on Google Map</v>
      </c>
    </row>
    <row r="11" spans="1:13">
      <c r="A11" s="77">
        <v>517</v>
      </c>
      <c r="B11" s="77" t="s">
        <v>471</v>
      </c>
      <c r="C11" s="77" t="s">
        <v>459</v>
      </c>
      <c r="D11" s="77">
        <v>68.467832999999999</v>
      </c>
      <c r="E11" s="77">
        <v>-151.47916699999999</v>
      </c>
      <c r="F11" s="77">
        <v>732</v>
      </c>
      <c r="G11" s="77" t="s">
        <v>460</v>
      </c>
      <c r="H11" s="77" t="s">
        <v>451</v>
      </c>
      <c r="I11" s="77" t="s">
        <v>451</v>
      </c>
      <c r="J11" s="77" t="s">
        <v>461</v>
      </c>
      <c r="K11" s="77" t="s">
        <v>451</v>
      </c>
      <c r="L11" s="77" t="s">
        <v>462</v>
      </c>
      <c r="M11" s="62" t="str">
        <f t="shared" si="0"/>
        <v>View on Google Map</v>
      </c>
    </row>
    <row r="12" spans="1:13">
      <c r="A12" s="77">
        <v>516</v>
      </c>
      <c r="B12" s="77" t="s">
        <v>472</v>
      </c>
      <c r="C12" s="77" t="s">
        <v>459</v>
      </c>
      <c r="D12" s="77">
        <v>68.467500000000001</v>
      </c>
      <c r="E12" s="77">
        <v>-151.49433300000001</v>
      </c>
      <c r="F12" s="77">
        <v>769</v>
      </c>
      <c r="G12" s="77" t="s">
        <v>460</v>
      </c>
      <c r="H12" s="77" t="s">
        <v>451</v>
      </c>
      <c r="I12" s="77" t="s">
        <v>451</v>
      </c>
      <c r="J12" s="77" t="s">
        <v>461</v>
      </c>
      <c r="K12" s="77" t="s">
        <v>451</v>
      </c>
      <c r="L12" s="77" t="s">
        <v>462</v>
      </c>
      <c r="M12" s="62" t="str">
        <f t="shared" si="0"/>
        <v>View on Google Map</v>
      </c>
    </row>
    <row r="13" spans="1:13">
      <c r="A13" s="77">
        <v>515</v>
      </c>
      <c r="B13" s="77" t="s">
        <v>473</v>
      </c>
      <c r="C13" s="77" t="s">
        <v>459</v>
      </c>
      <c r="D13" s="77">
        <v>68.463999999999999</v>
      </c>
      <c r="E13" s="77">
        <v>-151.51516699999999</v>
      </c>
      <c r="F13" s="77">
        <v>809</v>
      </c>
      <c r="G13" s="77" t="s">
        <v>460</v>
      </c>
      <c r="H13" s="77" t="s">
        <v>451</v>
      </c>
      <c r="I13" s="77" t="s">
        <v>451</v>
      </c>
      <c r="J13" s="77" t="s">
        <v>461</v>
      </c>
      <c r="K13" s="77" t="s">
        <v>451</v>
      </c>
      <c r="L13" s="77" t="s">
        <v>462</v>
      </c>
      <c r="M13" s="62" t="str">
        <f t="shared" si="0"/>
        <v>View on Google Map</v>
      </c>
    </row>
    <row r="14" spans="1:13">
      <c r="A14" s="77">
        <v>1177</v>
      </c>
      <c r="B14" s="77" t="s">
        <v>474</v>
      </c>
      <c r="C14" s="77" t="s">
        <v>475</v>
      </c>
      <c r="D14" s="77">
        <v>68.99539</v>
      </c>
      <c r="E14" s="77">
        <v>-150.28278</v>
      </c>
      <c r="F14" s="77" t="s">
        <v>451</v>
      </c>
      <c r="G14" s="77" t="s">
        <v>452</v>
      </c>
      <c r="H14" s="77" t="s">
        <v>451</v>
      </c>
      <c r="I14" s="77" t="s">
        <v>451</v>
      </c>
      <c r="J14" s="77" t="s">
        <v>456</v>
      </c>
      <c r="K14" s="77" t="s">
        <v>451</v>
      </c>
      <c r="L14" s="77" t="s">
        <v>457</v>
      </c>
      <c r="M14" s="62" t="str">
        <f t="shared" si="0"/>
        <v>View on Google Map</v>
      </c>
    </row>
    <row r="15" spans="1:13">
      <c r="A15" s="77">
        <v>1178</v>
      </c>
      <c r="B15" s="77" t="s">
        <v>476</v>
      </c>
      <c r="C15" s="77" t="s">
        <v>475</v>
      </c>
      <c r="D15" s="77">
        <v>68.996089999999995</v>
      </c>
      <c r="E15" s="77">
        <v>-150.29223999999999</v>
      </c>
      <c r="F15" s="77" t="s">
        <v>451</v>
      </c>
      <c r="G15" s="77" t="s">
        <v>452</v>
      </c>
      <c r="H15" s="77" t="s">
        <v>451</v>
      </c>
      <c r="I15" s="77" t="s">
        <v>451</v>
      </c>
      <c r="J15" s="77" t="s">
        <v>456</v>
      </c>
      <c r="K15" s="77" t="s">
        <v>451</v>
      </c>
      <c r="L15" s="77" t="s">
        <v>457</v>
      </c>
      <c r="M15" s="62" t="str">
        <f t="shared" si="0"/>
        <v>View on Google Map</v>
      </c>
    </row>
    <row r="16" spans="1:13">
      <c r="A16" s="77">
        <v>1179</v>
      </c>
      <c r="B16" s="77" t="s">
        <v>477</v>
      </c>
      <c r="C16" s="77" t="s">
        <v>478</v>
      </c>
      <c r="D16" s="77">
        <v>68.953829999999996</v>
      </c>
      <c r="E16" s="77">
        <v>-150.20697000000001</v>
      </c>
      <c r="F16" s="77" t="s">
        <v>451</v>
      </c>
      <c r="G16" s="77" t="s">
        <v>452</v>
      </c>
      <c r="H16" s="77" t="s">
        <v>451</v>
      </c>
      <c r="I16" s="77" t="s">
        <v>451</v>
      </c>
      <c r="J16" s="77" t="s">
        <v>456</v>
      </c>
      <c r="K16" s="77" t="s">
        <v>451</v>
      </c>
      <c r="L16" s="77" t="s">
        <v>457</v>
      </c>
      <c r="M16" s="62" t="str">
        <f t="shared" si="0"/>
        <v>View on Google Map</v>
      </c>
    </row>
    <row r="17" spans="1:13">
      <c r="A17" s="77">
        <v>1180</v>
      </c>
      <c r="B17" s="77" t="s">
        <v>479</v>
      </c>
      <c r="C17" s="77" t="s">
        <v>478</v>
      </c>
      <c r="D17" s="77">
        <v>68.951099999999997</v>
      </c>
      <c r="E17" s="77">
        <v>-150.20966000000001</v>
      </c>
      <c r="F17" s="77" t="s">
        <v>451</v>
      </c>
      <c r="G17" s="77" t="s">
        <v>452</v>
      </c>
      <c r="H17" s="77" t="s">
        <v>451</v>
      </c>
      <c r="I17" s="77" t="s">
        <v>451</v>
      </c>
      <c r="J17" s="77" t="s">
        <v>456</v>
      </c>
      <c r="K17" s="77" t="s">
        <v>451</v>
      </c>
      <c r="L17" s="77" t="s">
        <v>457</v>
      </c>
      <c r="M17" s="62" t="str">
        <f t="shared" si="0"/>
        <v>View on Google Map</v>
      </c>
    </row>
    <row r="18" spans="1:13">
      <c r="A18" s="77">
        <v>1181</v>
      </c>
      <c r="B18" s="77" t="s">
        <v>480</v>
      </c>
      <c r="C18" s="77" t="s">
        <v>478</v>
      </c>
      <c r="D18" s="77">
        <v>68.950720000000004</v>
      </c>
      <c r="E18" s="77">
        <v>-150.19745</v>
      </c>
      <c r="F18" s="77" t="s">
        <v>451</v>
      </c>
      <c r="G18" s="77" t="s">
        <v>452</v>
      </c>
      <c r="H18" s="77" t="s">
        <v>451</v>
      </c>
      <c r="I18" s="77" t="s">
        <v>451</v>
      </c>
      <c r="J18" s="77" t="s">
        <v>456</v>
      </c>
      <c r="K18" s="77" t="s">
        <v>451</v>
      </c>
      <c r="L18" s="77" t="s">
        <v>457</v>
      </c>
      <c r="M18" s="62" t="str">
        <f t="shared" si="0"/>
        <v>View on Google Map</v>
      </c>
    </row>
    <row r="19" spans="1:13">
      <c r="A19" s="77">
        <v>1182</v>
      </c>
      <c r="B19" s="77" t="s">
        <v>481</v>
      </c>
      <c r="C19" s="77" t="s">
        <v>478</v>
      </c>
      <c r="D19" s="77">
        <v>68.950149999999994</v>
      </c>
      <c r="E19" s="77">
        <v>-150.19701000000001</v>
      </c>
      <c r="F19" s="77" t="s">
        <v>451</v>
      </c>
      <c r="G19" s="77" t="s">
        <v>452</v>
      </c>
      <c r="H19" s="77" t="s">
        <v>451</v>
      </c>
      <c r="I19" s="77" t="s">
        <v>451</v>
      </c>
      <c r="J19" s="77" t="s">
        <v>456</v>
      </c>
      <c r="K19" s="77" t="s">
        <v>451</v>
      </c>
      <c r="L19" s="77" t="s">
        <v>457</v>
      </c>
      <c r="M19" s="62" t="str">
        <f t="shared" si="0"/>
        <v>View on Google Map</v>
      </c>
    </row>
    <row r="20" spans="1:13">
      <c r="A20" s="77">
        <v>1183</v>
      </c>
      <c r="B20" s="77" t="s">
        <v>482</v>
      </c>
      <c r="C20" s="77" t="s">
        <v>478</v>
      </c>
      <c r="D20" s="77">
        <v>68.949629999999999</v>
      </c>
      <c r="E20" s="77">
        <v>-150.19672</v>
      </c>
      <c r="F20" s="77" t="s">
        <v>451</v>
      </c>
      <c r="G20" s="77" t="s">
        <v>452</v>
      </c>
      <c r="H20" s="77" t="s">
        <v>451</v>
      </c>
      <c r="I20" s="77" t="s">
        <v>451</v>
      </c>
      <c r="J20" s="77" t="s">
        <v>456</v>
      </c>
      <c r="K20" s="77" t="s">
        <v>451</v>
      </c>
      <c r="L20" s="77" t="s">
        <v>457</v>
      </c>
      <c r="M20" s="62" t="str">
        <f t="shared" si="0"/>
        <v>View on Google Map</v>
      </c>
    </row>
    <row r="21" spans="1:13">
      <c r="A21" s="77">
        <v>1184</v>
      </c>
      <c r="B21" s="77" t="s">
        <v>483</v>
      </c>
      <c r="C21" s="77" t="s">
        <v>478</v>
      </c>
      <c r="D21" s="77">
        <v>68.952349999999996</v>
      </c>
      <c r="E21" s="77">
        <v>-150.20769999999999</v>
      </c>
      <c r="F21" s="77" t="s">
        <v>451</v>
      </c>
      <c r="G21" s="77" t="s">
        <v>452</v>
      </c>
      <c r="H21" s="77" t="s">
        <v>451</v>
      </c>
      <c r="I21" s="77" t="s">
        <v>451</v>
      </c>
      <c r="J21" s="77" t="s">
        <v>456</v>
      </c>
      <c r="K21" s="77" t="s">
        <v>451</v>
      </c>
      <c r="L21" s="77" t="s">
        <v>457</v>
      </c>
      <c r="M21" s="62" t="str">
        <f t="shared" si="0"/>
        <v>View on Google Map</v>
      </c>
    </row>
    <row r="22" spans="1:13">
      <c r="A22" s="77">
        <v>1185</v>
      </c>
      <c r="B22" s="77" t="s">
        <v>484</v>
      </c>
      <c r="C22" s="77" t="s">
        <v>478</v>
      </c>
      <c r="D22" s="77">
        <v>68.933340000000001</v>
      </c>
      <c r="E22" s="77">
        <v>-150.27288999999999</v>
      </c>
      <c r="F22" s="77" t="s">
        <v>451</v>
      </c>
      <c r="G22" s="77" t="s">
        <v>452</v>
      </c>
      <c r="H22" s="77" t="s">
        <v>451</v>
      </c>
      <c r="I22" s="77" t="s">
        <v>451</v>
      </c>
      <c r="J22" s="77" t="s">
        <v>456</v>
      </c>
      <c r="K22" s="77" t="s">
        <v>451</v>
      </c>
      <c r="L22" s="77" t="s">
        <v>457</v>
      </c>
      <c r="M22" s="62" t="str">
        <f t="shared" si="0"/>
        <v>View on Google Map</v>
      </c>
    </row>
    <row r="23" spans="1:13">
      <c r="A23" s="77">
        <v>1186</v>
      </c>
      <c r="B23" s="77" t="s">
        <v>485</v>
      </c>
      <c r="C23" s="77" t="s">
        <v>478</v>
      </c>
      <c r="D23" s="77">
        <v>68.935190000000006</v>
      </c>
      <c r="E23" s="77">
        <v>-150.26884000000001</v>
      </c>
      <c r="F23" s="77" t="s">
        <v>451</v>
      </c>
      <c r="G23" s="77" t="s">
        <v>452</v>
      </c>
      <c r="H23" s="77" t="s">
        <v>451</v>
      </c>
      <c r="I23" s="77" t="s">
        <v>451</v>
      </c>
      <c r="J23" s="77" t="s">
        <v>456</v>
      </c>
      <c r="K23" s="77" t="s">
        <v>451</v>
      </c>
      <c r="L23" s="77" t="s">
        <v>457</v>
      </c>
      <c r="M23" s="62" t="str">
        <f t="shared" si="0"/>
        <v>View on Google Map</v>
      </c>
    </row>
    <row r="24" spans="1:13">
      <c r="A24" s="77">
        <v>1187</v>
      </c>
      <c r="B24" s="77" t="s">
        <v>486</v>
      </c>
      <c r="C24" s="77" t="s">
        <v>478</v>
      </c>
      <c r="D24" s="77">
        <v>68.997339999999994</v>
      </c>
      <c r="E24" s="77">
        <v>-150.30745999999999</v>
      </c>
      <c r="F24" s="77" t="s">
        <v>451</v>
      </c>
      <c r="G24" s="77" t="s">
        <v>452</v>
      </c>
      <c r="H24" s="77" t="s">
        <v>451</v>
      </c>
      <c r="I24" s="77" t="s">
        <v>451</v>
      </c>
      <c r="J24" s="77" t="s">
        <v>456</v>
      </c>
      <c r="K24" s="77" t="s">
        <v>451</v>
      </c>
      <c r="L24" s="77" t="s">
        <v>457</v>
      </c>
      <c r="M24" s="62" t="str">
        <f t="shared" si="0"/>
        <v>View on Google Map</v>
      </c>
    </row>
    <row r="25" spans="1:13">
      <c r="A25" s="77">
        <v>1188</v>
      </c>
      <c r="B25" s="77" t="s">
        <v>487</v>
      </c>
      <c r="C25" s="77" t="s">
        <v>478</v>
      </c>
      <c r="D25" s="77">
        <v>68.950779999999995</v>
      </c>
      <c r="E25" s="77">
        <v>-150.19788</v>
      </c>
      <c r="F25" s="77" t="s">
        <v>451</v>
      </c>
      <c r="G25" s="77" t="s">
        <v>452</v>
      </c>
      <c r="H25" s="77" t="s">
        <v>451</v>
      </c>
      <c r="I25" s="77" t="s">
        <v>451</v>
      </c>
      <c r="J25" s="77" t="s">
        <v>456</v>
      </c>
      <c r="K25" s="77" t="s">
        <v>451</v>
      </c>
      <c r="L25" s="77" t="s">
        <v>457</v>
      </c>
      <c r="M25" s="62" t="str">
        <f t="shared" si="0"/>
        <v>View on Google Map</v>
      </c>
    </row>
    <row r="26" spans="1:13">
      <c r="A26" s="77">
        <v>1189</v>
      </c>
      <c r="B26" s="77" t="s">
        <v>488</v>
      </c>
      <c r="C26" s="77" t="s">
        <v>478</v>
      </c>
      <c r="D26" s="77">
        <v>68.954440000000005</v>
      </c>
      <c r="E26" s="77">
        <v>-150.20644999999999</v>
      </c>
      <c r="F26" s="77" t="s">
        <v>451</v>
      </c>
      <c r="G26" s="77" t="s">
        <v>452</v>
      </c>
      <c r="H26" s="77" t="s">
        <v>451</v>
      </c>
      <c r="I26" s="77" t="s">
        <v>451</v>
      </c>
      <c r="J26" s="77" t="s">
        <v>456</v>
      </c>
      <c r="K26" s="77" t="s">
        <v>451</v>
      </c>
      <c r="L26" s="77" t="s">
        <v>457</v>
      </c>
      <c r="M26" s="62" t="str">
        <f t="shared" si="0"/>
        <v>View on Google Map</v>
      </c>
    </row>
    <row r="27" spans="1:13">
      <c r="A27" s="77">
        <v>1190</v>
      </c>
      <c r="B27" s="77" t="s">
        <v>489</v>
      </c>
      <c r="C27" s="77" t="s">
        <v>478</v>
      </c>
      <c r="D27" s="77">
        <v>69.116330000000005</v>
      </c>
      <c r="E27" s="77">
        <v>-150.79077000000001</v>
      </c>
      <c r="F27" s="77" t="s">
        <v>451</v>
      </c>
      <c r="G27" s="77" t="s">
        <v>452</v>
      </c>
      <c r="H27" s="77" t="s">
        <v>451</v>
      </c>
      <c r="I27" s="77" t="s">
        <v>451</v>
      </c>
      <c r="J27" s="77" t="s">
        <v>456</v>
      </c>
      <c r="K27" s="77" t="s">
        <v>451</v>
      </c>
      <c r="L27" s="77" t="s">
        <v>457</v>
      </c>
      <c r="M27" s="62" t="str">
        <f t="shared" si="0"/>
        <v>View on Google Map</v>
      </c>
    </row>
    <row r="28" spans="1:13">
      <c r="A28" s="77">
        <v>1191</v>
      </c>
      <c r="B28" s="77" t="s">
        <v>490</v>
      </c>
      <c r="C28" s="77" t="s">
        <v>478</v>
      </c>
      <c r="D28" s="77">
        <v>69.116150000000005</v>
      </c>
      <c r="E28" s="77">
        <v>-150.79553999999999</v>
      </c>
      <c r="F28" s="77" t="s">
        <v>451</v>
      </c>
      <c r="G28" s="77" t="s">
        <v>452</v>
      </c>
      <c r="H28" s="77" t="s">
        <v>451</v>
      </c>
      <c r="I28" s="77" t="s">
        <v>451</v>
      </c>
      <c r="J28" s="77" t="s">
        <v>456</v>
      </c>
      <c r="K28" s="77" t="s">
        <v>451</v>
      </c>
      <c r="L28" s="77" t="s">
        <v>457</v>
      </c>
      <c r="M28" s="62" t="str">
        <f t="shared" si="0"/>
        <v>View on Google Map</v>
      </c>
    </row>
    <row r="29" spans="1:13">
      <c r="A29" s="77">
        <v>3</v>
      </c>
      <c r="B29" s="77" t="s">
        <v>491</v>
      </c>
      <c r="C29" s="77" t="s">
        <v>492</v>
      </c>
      <c r="D29" s="77">
        <v>68.266666666666666</v>
      </c>
      <c r="E29" s="77">
        <v>-149.44999999999999</v>
      </c>
      <c r="F29" s="77">
        <v>914</v>
      </c>
      <c r="G29" s="77" t="s">
        <v>468</v>
      </c>
      <c r="H29" s="77" t="s">
        <v>451</v>
      </c>
      <c r="I29" s="77" t="s">
        <v>451</v>
      </c>
      <c r="J29" s="77" t="s">
        <v>469</v>
      </c>
      <c r="K29" s="77" t="s">
        <v>451</v>
      </c>
      <c r="L29" s="77" t="s">
        <v>470</v>
      </c>
      <c r="M29" s="62" t="str">
        <f t="shared" si="0"/>
        <v>View on Google Map</v>
      </c>
    </row>
    <row r="30" spans="1:13">
      <c r="A30" s="77">
        <v>2</v>
      </c>
      <c r="B30" s="77" t="s">
        <v>493</v>
      </c>
      <c r="C30" s="77" t="s">
        <v>494</v>
      </c>
      <c r="D30" s="77">
        <v>68.266666666666666</v>
      </c>
      <c r="E30" s="77">
        <v>-149.46666666666667</v>
      </c>
      <c r="F30" s="77">
        <v>914</v>
      </c>
      <c r="G30" s="77" t="s">
        <v>468</v>
      </c>
      <c r="H30" s="77" t="s">
        <v>451</v>
      </c>
      <c r="I30" s="77" t="s">
        <v>451</v>
      </c>
      <c r="J30" s="77" t="s">
        <v>469</v>
      </c>
      <c r="K30" s="77" t="s">
        <v>451</v>
      </c>
      <c r="L30" s="77" t="s">
        <v>470</v>
      </c>
      <c r="M30" s="62" t="str">
        <f t="shared" si="0"/>
        <v>View on Google Map</v>
      </c>
    </row>
    <row r="31" spans="1:13">
      <c r="A31" s="77">
        <v>25</v>
      </c>
      <c r="B31" s="77" t="s">
        <v>495</v>
      </c>
      <c r="C31" s="77" t="s">
        <v>451</v>
      </c>
      <c r="D31" s="77" t="s">
        <v>451</v>
      </c>
      <c r="E31" s="77" t="s">
        <v>451</v>
      </c>
      <c r="F31" s="77">
        <v>1097</v>
      </c>
      <c r="G31" s="77" t="s">
        <v>468</v>
      </c>
      <c r="H31" s="77" t="s">
        <v>496</v>
      </c>
      <c r="I31" s="77" t="s">
        <v>451</v>
      </c>
      <c r="J31" s="77" t="s">
        <v>469</v>
      </c>
      <c r="K31" s="77" t="s">
        <v>451</v>
      </c>
      <c r="L31" s="77" t="s">
        <v>451</v>
      </c>
      <c r="M31" s="62" t="str">
        <f t="shared" si="0"/>
        <v>View on Google Map</v>
      </c>
    </row>
    <row r="32" spans="1:13">
      <c r="A32" s="77">
        <v>26</v>
      </c>
      <c r="B32" s="77" t="s">
        <v>497</v>
      </c>
      <c r="C32" s="77" t="s">
        <v>451</v>
      </c>
      <c r="D32" s="77" t="s">
        <v>451</v>
      </c>
      <c r="E32" s="77" t="s">
        <v>451</v>
      </c>
      <c r="F32" s="77">
        <v>1280</v>
      </c>
      <c r="G32" s="77" t="s">
        <v>468</v>
      </c>
      <c r="H32" s="77" t="s">
        <v>498</v>
      </c>
      <c r="I32" s="77" t="s">
        <v>451</v>
      </c>
      <c r="J32" s="77" t="s">
        <v>469</v>
      </c>
      <c r="K32" s="77" t="s">
        <v>451</v>
      </c>
      <c r="L32" s="77" t="s">
        <v>451</v>
      </c>
      <c r="M32" s="62" t="str">
        <f t="shared" si="0"/>
        <v>View on Google Map</v>
      </c>
    </row>
    <row r="33" spans="1:13">
      <c r="A33" s="77">
        <v>27</v>
      </c>
      <c r="B33" s="77" t="s">
        <v>499</v>
      </c>
      <c r="C33" s="77" t="s">
        <v>451</v>
      </c>
      <c r="D33" s="77" t="s">
        <v>451</v>
      </c>
      <c r="E33" s="77" t="s">
        <v>451</v>
      </c>
      <c r="F33" s="77">
        <v>1555</v>
      </c>
      <c r="G33" s="77" t="s">
        <v>468</v>
      </c>
      <c r="H33" s="77" t="s">
        <v>500</v>
      </c>
      <c r="I33" s="77" t="s">
        <v>451</v>
      </c>
      <c r="J33" s="77" t="s">
        <v>469</v>
      </c>
      <c r="K33" s="77" t="s">
        <v>451</v>
      </c>
      <c r="L33" s="77" t="s">
        <v>451</v>
      </c>
      <c r="M33" s="62" t="str">
        <f t="shared" si="0"/>
        <v>View on Google Map</v>
      </c>
    </row>
    <row r="34" spans="1:13">
      <c r="A34" s="77">
        <v>138</v>
      </c>
      <c r="B34" s="77" t="s">
        <v>501</v>
      </c>
      <c r="C34" s="77" t="s">
        <v>451</v>
      </c>
      <c r="D34" s="77">
        <v>70.283333333333331</v>
      </c>
      <c r="E34" s="77">
        <v>-148.30000000000001</v>
      </c>
      <c r="F34" s="77">
        <v>6</v>
      </c>
      <c r="G34" s="77" t="s">
        <v>460</v>
      </c>
      <c r="H34" s="77" t="s">
        <v>502</v>
      </c>
      <c r="I34" s="77" t="s">
        <v>451</v>
      </c>
      <c r="J34" s="77" t="s">
        <v>469</v>
      </c>
      <c r="K34" s="77" t="s">
        <v>451</v>
      </c>
      <c r="L34" s="77" t="s">
        <v>470</v>
      </c>
      <c r="M34" s="62" t="str">
        <f t="shared" si="0"/>
        <v>View on Google Map</v>
      </c>
    </row>
    <row r="35" spans="1:13">
      <c r="A35" s="77">
        <v>31</v>
      </c>
      <c r="B35" s="77" t="s">
        <v>503</v>
      </c>
      <c r="C35" s="77" t="s">
        <v>451</v>
      </c>
      <c r="D35" s="77">
        <v>68.957566666999995</v>
      </c>
      <c r="E35" s="77">
        <v>-150.236266667</v>
      </c>
      <c r="F35" s="77">
        <v>386.18</v>
      </c>
      <c r="G35" s="77" t="s">
        <v>468</v>
      </c>
      <c r="H35" s="77" t="s">
        <v>451</v>
      </c>
      <c r="I35" s="77" t="s">
        <v>451</v>
      </c>
      <c r="J35" s="77" t="s">
        <v>504</v>
      </c>
      <c r="K35" s="77" t="s">
        <v>451</v>
      </c>
      <c r="L35" s="77" t="s">
        <v>457</v>
      </c>
      <c r="M35" s="62" t="str">
        <f t="shared" si="0"/>
        <v>View on Google Map</v>
      </c>
    </row>
    <row r="36" spans="1:13">
      <c r="A36" s="77">
        <v>131</v>
      </c>
      <c r="B36" s="77" t="s">
        <v>505</v>
      </c>
      <c r="C36" s="77" t="s">
        <v>451</v>
      </c>
      <c r="D36" s="77">
        <v>70.333333333333329</v>
      </c>
      <c r="E36" s="77">
        <v>-148.93333333333334</v>
      </c>
      <c r="F36" s="77">
        <v>3</v>
      </c>
      <c r="G36" s="77" t="s">
        <v>460</v>
      </c>
      <c r="H36" s="77" t="s">
        <v>506</v>
      </c>
      <c r="I36" s="77" t="s">
        <v>451</v>
      </c>
      <c r="J36" s="77" t="s">
        <v>469</v>
      </c>
      <c r="K36" s="77" t="s">
        <v>451</v>
      </c>
      <c r="L36" s="77" t="s">
        <v>470</v>
      </c>
      <c r="M36" s="62" t="str">
        <f t="shared" si="0"/>
        <v>View on Google Map</v>
      </c>
    </row>
    <row r="37" spans="1:13">
      <c r="A37" s="77">
        <v>132</v>
      </c>
      <c r="B37" s="77" t="s">
        <v>507</v>
      </c>
      <c r="C37" s="77" t="s">
        <v>451</v>
      </c>
      <c r="D37" s="77">
        <v>70.333333333333329</v>
      </c>
      <c r="E37" s="77">
        <v>-148.93333333333334</v>
      </c>
      <c r="F37" s="77">
        <v>3</v>
      </c>
      <c r="G37" s="77" t="s">
        <v>460</v>
      </c>
      <c r="H37" s="77" t="s">
        <v>508</v>
      </c>
      <c r="I37" s="77" t="s">
        <v>451</v>
      </c>
      <c r="J37" s="77" t="s">
        <v>469</v>
      </c>
      <c r="K37" s="77" t="s">
        <v>451</v>
      </c>
      <c r="L37" s="77" t="s">
        <v>470</v>
      </c>
      <c r="M37" s="62" t="str">
        <f t="shared" si="0"/>
        <v>View on Google Map</v>
      </c>
    </row>
    <row r="38" spans="1:13" ht="12.75" customHeight="1">
      <c r="A38" s="77">
        <v>141</v>
      </c>
      <c r="B38" s="77" t="s">
        <v>509</v>
      </c>
      <c r="C38" s="77" t="s">
        <v>510</v>
      </c>
      <c r="D38" s="77">
        <v>68.63333333333334</v>
      </c>
      <c r="E38" s="77">
        <v>-149.6</v>
      </c>
      <c r="F38" s="77">
        <v>720</v>
      </c>
      <c r="G38" s="77" t="s">
        <v>460</v>
      </c>
      <c r="H38" s="77" t="s">
        <v>511</v>
      </c>
      <c r="I38" s="77" t="s">
        <v>512</v>
      </c>
      <c r="J38" s="77" t="s">
        <v>469</v>
      </c>
      <c r="K38" s="77" t="s">
        <v>451</v>
      </c>
      <c r="L38" s="77" t="s">
        <v>470</v>
      </c>
      <c r="M38" s="62" t="str">
        <f t="shared" si="0"/>
        <v>View on Google Map</v>
      </c>
    </row>
    <row r="39" spans="1:13" ht="12.75" customHeight="1">
      <c r="A39" s="77">
        <v>160</v>
      </c>
      <c r="B39" s="77" t="s">
        <v>513</v>
      </c>
      <c r="C39" s="77" t="s">
        <v>451</v>
      </c>
      <c r="D39" s="77">
        <v>68.599999999999994</v>
      </c>
      <c r="E39" s="77">
        <v>-149.18333333333334</v>
      </c>
      <c r="F39" s="77">
        <v>864</v>
      </c>
      <c r="G39" s="77" t="s">
        <v>460</v>
      </c>
      <c r="H39" s="77" t="s">
        <v>514</v>
      </c>
      <c r="I39" s="77" t="s">
        <v>515</v>
      </c>
      <c r="J39" s="77" t="s">
        <v>469</v>
      </c>
      <c r="K39" s="77">
        <v>246</v>
      </c>
      <c r="L39" s="77" t="s">
        <v>470</v>
      </c>
      <c r="M39" s="62" t="str">
        <f t="shared" si="0"/>
        <v>View on Google Map</v>
      </c>
    </row>
    <row r="40" spans="1:13" ht="12.75" customHeight="1">
      <c r="A40" s="77">
        <v>481</v>
      </c>
      <c r="B40" s="77" t="s">
        <v>516</v>
      </c>
      <c r="C40" s="77" t="s">
        <v>451</v>
      </c>
      <c r="D40" s="77">
        <v>68.976716667000005</v>
      </c>
      <c r="E40" s="77">
        <v>-150.20383333300001</v>
      </c>
      <c r="F40" s="77">
        <v>362</v>
      </c>
      <c r="G40" s="77" t="s">
        <v>460</v>
      </c>
      <c r="H40" s="77" t="s">
        <v>451</v>
      </c>
      <c r="I40" s="77" t="s">
        <v>451</v>
      </c>
      <c r="J40" s="77" t="s">
        <v>504</v>
      </c>
      <c r="K40" s="77" t="s">
        <v>451</v>
      </c>
      <c r="L40" s="77" t="s">
        <v>457</v>
      </c>
      <c r="M40" s="62" t="str">
        <f t="shared" si="0"/>
        <v>View on Google Map</v>
      </c>
    </row>
    <row r="41" spans="1:13" ht="12.75" customHeight="1">
      <c r="A41" s="77">
        <v>21</v>
      </c>
      <c r="B41" s="77" t="s">
        <v>517</v>
      </c>
      <c r="C41" s="77" t="s">
        <v>451</v>
      </c>
      <c r="D41" s="77" t="s">
        <v>451</v>
      </c>
      <c r="E41" s="77" t="s">
        <v>451</v>
      </c>
      <c r="F41" s="77" t="s">
        <v>451</v>
      </c>
      <c r="G41" s="77" t="s">
        <v>468</v>
      </c>
      <c r="H41" s="77" t="s">
        <v>451</v>
      </c>
      <c r="I41" s="77" t="s">
        <v>451</v>
      </c>
      <c r="J41" s="77" t="s">
        <v>469</v>
      </c>
      <c r="K41" s="77" t="s">
        <v>451</v>
      </c>
      <c r="L41" s="77" t="s">
        <v>451</v>
      </c>
      <c r="M41" s="62" t="str">
        <f t="shared" si="0"/>
        <v>View on Google Map</v>
      </c>
    </row>
    <row r="42" spans="1:13" ht="12.75" customHeight="1">
      <c r="A42" s="77">
        <v>470</v>
      </c>
      <c r="B42" s="77" t="s">
        <v>518</v>
      </c>
      <c r="C42" s="77" t="s">
        <v>451</v>
      </c>
      <c r="D42" s="77">
        <v>68.829459999999997</v>
      </c>
      <c r="E42" s="77">
        <v>-149.77891</v>
      </c>
      <c r="F42" s="77">
        <v>634</v>
      </c>
      <c r="G42" s="77" t="s">
        <v>460</v>
      </c>
      <c r="H42" s="77" t="s">
        <v>451</v>
      </c>
      <c r="I42" s="77" t="s">
        <v>451</v>
      </c>
      <c r="J42" s="77" t="s">
        <v>461</v>
      </c>
      <c r="K42" s="77" t="s">
        <v>451</v>
      </c>
      <c r="L42" s="77" t="s">
        <v>451</v>
      </c>
      <c r="M42" s="62" t="str">
        <f t="shared" si="0"/>
        <v>View on Google Map</v>
      </c>
    </row>
    <row r="43" spans="1:13" ht="12.75" customHeight="1">
      <c r="A43" s="77">
        <v>471</v>
      </c>
      <c r="B43" s="77" t="s">
        <v>519</v>
      </c>
      <c r="C43" s="77" t="s">
        <v>451</v>
      </c>
      <c r="D43" s="77">
        <v>68.832939999999994</v>
      </c>
      <c r="E43" s="77">
        <v>-149.76775000000001</v>
      </c>
      <c r="F43" s="77">
        <v>624</v>
      </c>
      <c r="G43" s="77" t="s">
        <v>460</v>
      </c>
      <c r="H43" s="77" t="s">
        <v>451</v>
      </c>
      <c r="I43" s="77" t="s">
        <v>451</v>
      </c>
      <c r="J43" s="77" t="s">
        <v>461</v>
      </c>
      <c r="K43" s="77" t="s">
        <v>451</v>
      </c>
      <c r="L43" s="77" t="s">
        <v>451</v>
      </c>
      <c r="M43" s="62" t="str">
        <f t="shared" si="0"/>
        <v>View on Google Map</v>
      </c>
    </row>
    <row r="44" spans="1:13" ht="12.75" customHeight="1">
      <c r="A44" s="77">
        <v>472</v>
      </c>
      <c r="B44" s="77" t="s">
        <v>520</v>
      </c>
      <c r="C44" s="77" t="s">
        <v>451</v>
      </c>
      <c r="D44" s="77">
        <v>68.828059999999994</v>
      </c>
      <c r="E44" s="77">
        <v>-149.76449</v>
      </c>
      <c r="F44" s="77">
        <v>624</v>
      </c>
      <c r="G44" s="77" t="s">
        <v>460</v>
      </c>
      <c r="H44" s="77" t="s">
        <v>451</v>
      </c>
      <c r="I44" s="77" t="s">
        <v>451</v>
      </c>
      <c r="J44" s="77" t="s">
        <v>461</v>
      </c>
      <c r="K44" s="77" t="s">
        <v>451</v>
      </c>
      <c r="L44" s="77" t="s">
        <v>451</v>
      </c>
      <c r="M44" s="62" t="str">
        <f t="shared" si="0"/>
        <v>View on Google Map</v>
      </c>
    </row>
    <row r="45" spans="1:13">
      <c r="A45" s="77">
        <v>473</v>
      </c>
      <c r="B45" s="77" t="s">
        <v>521</v>
      </c>
      <c r="C45" s="77" t="s">
        <v>451</v>
      </c>
      <c r="D45" s="77">
        <v>68.826400000000007</v>
      </c>
      <c r="E45" s="77">
        <v>-149.7585</v>
      </c>
      <c r="F45" s="77">
        <v>592</v>
      </c>
      <c r="G45" s="77" t="s">
        <v>460</v>
      </c>
      <c r="H45" s="77" t="s">
        <v>451</v>
      </c>
      <c r="I45" s="77" t="s">
        <v>451</v>
      </c>
      <c r="J45" s="77" t="s">
        <v>461</v>
      </c>
      <c r="K45" s="77" t="s">
        <v>451</v>
      </c>
      <c r="L45" s="77" t="s">
        <v>451</v>
      </c>
      <c r="M45" s="62" t="str">
        <f t="shared" si="0"/>
        <v>View on Google Map</v>
      </c>
    </row>
    <row r="46" spans="1:13">
      <c r="A46" s="77">
        <v>474</v>
      </c>
      <c r="B46" s="77" t="s">
        <v>522</v>
      </c>
      <c r="C46" s="77" t="s">
        <v>451</v>
      </c>
      <c r="D46" s="77">
        <v>68.827349999999996</v>
      </c>
      <c r="E46" s="77">
        <v>-149.74993000000001</v>
      </c>
      <c r="F46" s="77">
        <v>592</v>
      </c>
      <c r="G46" s="77" t="s">
        <v>460</v>
      </c>
      <c r="H46" s="77" t="s">
        <v>451</v>
      </c>
      <c r="I46" s="77" t="s">
        <v>451</v>
      </c>
      <c r="J46" s="77" t="s">
        <v>461</v>
      </c>
      <c r="K46" s="77" t="s">
        <v>451</v>
      </c>
      <c r="L46" s="77" t="s">
        <v>451</v>
      </c>
      <c r="M46" s="62" t="str">
        <f t="shared" si="0"/>
        <v>View on Google Map</v>
      </c>
    </row>
    <row r="47" spans="1:13">
      <c r="A47" s="77">
        <v>475</v>
      </c>
      <c r="B47" s="77" t="s">
        <v>523</v>
      </c>
      <c r="C47" s="77" t="s">
        <v>451</v>
      </c>
      <c r="D47" s="77">
        <v>68.831180000000003</v>
      </c>
      <c r="E47" s="77">
        <v>-149.74606</v>
      </c>
      <c r="F47" s="77">
        <v>593</v>
      </c>
      <c r="G47" s="77" t="s">
        <v>460</v>
      </c>
      <c r="H47" s="77" t="s">
        <v>524</v>
      </c>
      <c r="I47" s="77" t="s">
        <v>451</v>
      </c>
      <c r="J47" s="77" t="s">
        <v>461</v>
      </c>
      <c r="K47" s="77" t="s">
        <v>451</v>
      </c>
      <c r="L47" s="77" t="s">
        <v>451</v>
      </c>
      <c r="M47" s="62" t="str">
        <f t="shared" si="0"/>
        <v>View on Google Map</v>
      </c>
    </row>
    <row r="48" spans="1:13">
      <c r="A48" s="77">
        <v>476</v>
      </c>
      <c r="B48" s="77" t="s">
        <v>525</v>
      </c>
      <c r="C48" s="77" t="s">
        <v>451</v>
      </c>
      <c r="D48" s="77">
        <v>68.825339999999997</v>
      </c>
      <c r="E48" s="77">
        <v>-149.76837</v>
      </c>
      <c r="F48" s="77">
        <v>621</v>
      </c>
      <c r="G48" s="77" t="s">
        <v>460</v>
      </c>
      <c r="H48" s="77" t="s">
        <v>451</v>
      </c>
      <c r="I48" s="77" t="s">
        <v>451</v>
      </c>
      <c r="J48" s="77" t="s">
        <v>461</v>
      </c>
      <c r="K48" s="77" t="s">
        <v>451</v>
      </c>
      <c r="L48" s="77" t="s">
        <v>451</v>
      </c>
      <c r="M48" s="62" t="str">
        <f t="shared" si="0"/>
        <v>View on Google Map</v>
      </c>
    </row>
    <row r="49" spans="1:13">
      <c r="A49" s="77">
        <v>477</v>
      </c>
      <c r="B49" s="77" t="s">
        <v>526</v>
      </c>
      <c r="C49" s="77" t="s">
        <v>451</v>
      </c>
      <c r="D49" s="77">
        <v>68.821740000000005</v>
      </c>
      <c r="E49" s="77">
        <v>-149.76378</v>
      </c>
      <c r="F49" s="77">
        <v>605</v>
      </c>
      <c r="G49" s="77" t="s">
        <v>460</v>
      </c>
      <c r="H49" s="77" t="s">
        <v>451</v>
      </c>
      <c r="I49" s="77" t="s">
        <v>451</v>
      </c>
      <c r="J49" s="77" t="s">
        <v>461</v>
      </c>
      <c r="K49" s="77" t="s">
        <v>451</v>
      </c>
      <c r="L49" s="77" t="s">
        <v>451</v>
      </c>
      <c r="M49" s="62" t="str">
        <f t="shared" si="0"/>
        <v>View on Google Map</v>
      </c>
    </row>
    <row r="50" spans="1:13">
      <c r="A50" s="77">
        <v>1174</v>
      </c>
      <c r="B50" s="77" t="s">
        <v>527</v>
      </c>
      <c r="C50" s="77" t="s">
        <v>451</v>
      </c>
      <c r="D50" s="77">
        <v>68.933938330000004</v>
      </c>
      <c r="E50" s="77">
        <v>-150.27111830000001</v>
      </c>
      <c r="F50" s="77" t="s">
        <v>451</v>
      </c>
      <c r="G50" s="77" t="s">
        <v>452</v>
      </c>
      <c r="H50" s="77" t="s">
        <v>451</v>
      </c>
      <c r="I50" s="77" t="s">
        <v>451</v>
      </c>
      <c r="J50" s="77" t="s">
        <v>456</v>
      </c>
      <c r="K50" s="77" t="s">
        <v>451</v>
      </c>
      <c r="L50" s="77" t="s">
        <v>457</v>
      </c>
      <c r="M50" s="62" t="str">
        <f t="shared" si="0"/>
        <v>View on Google Map</v>
      </c>
    </row>
    <row r="51" spans="1:13">
      <c r="A51" s="77">
        <v>242</v>
      </c>
      <c r="B51" s="77" t="s">
        <v>528</v>
      </c>
      <c r="C51" s="77" t="s">
        <v>451</v>
      </c>
      <c r="D51" s="77" t="s">
        <v>451</v>
      </c>
      <c r="E51" s="77" t="s">
        <v>451</v>
      </c>
      <c r="F51" s="77">
        <v>390.2439024390244</v>
      </c>
      <c r="G51" s="77" t="s">
        <v>460</v>
      </c>
      <c r="H51" s="77" t="s">
        <v>451</v>
      </c>
      <c r="I51" s="77" t="s">
        <v>451</v>
      </c>
      <c r="J51" s="77" t="s">
        <v>469</v>
      </c>
      <c r="K51" s="77" t="s">
        <v>451</v>
      </c>
      <c r="L51" s="77" t="s">
        <v>529</v>
      </c>
      <c r="M51" s="62" t="str">
        <f t="shared" si="0"/>
        <v>View on Google Map</v>
      </c>
    </row>
    <row r="52" spans="1:13">
      <c r="A52" s="77">
        <v>192</v>
      </c>
      <c r="B52" s="77" t="s">
        <v>530</v>
      </c>
      <c r="C52" s="77" t="s">
        <v>451</v>
      </c>
      <c r="D52" s="77">
        <v>69.233333333333334</v>
      </c>
      <c r="E52" s="77">
        <v>-148.94999999999999</v>
      </c>
      <c r="F52" s="77">
        <v>325</v>
      </c>
      <c r="G52" s="77" t="s">
        <v>460</v>
      </c>
      <c r="H52" s="77" t="s">
        <v>531</v>
      </c>
      <c r="I52" s="77" t="s">
        <v>451</v>
      </c>
      <c r="J52" s="77" t="s">
        <v>469</v>
      </c>
      <c r="K52" s="77" t="s">
        <v>451</v>
      </c>
      <c r="L52" s="77" t="s">
        <v>532</v>
      </c>
      <c r="M52" s="62" t="str">
        <f t="shared" si="0"/>
        <v>View on Google Map</v>
      </c>
    </row>
    <row r="53" spans="1:13">
      <c r="A53" s="77">
        <v>277</v>
      </c>
      <c r="B53" s="77" t="s">
        <v>530</v>
      </c>
      <c r="C53" s="77" t="s">
        <v>451</v>
      </c>
      <c r="D53" s="77">
        <v>70.374600000000001</v>
      </c>
      <c r="E53" s="77">
        <v>-149.06383333333332</v>
      </c>
      <c r="F53" s="77">
        <v>6</v>
      </c>
      <c r="G53" s="77" t="s">
        <v>460</v>
      </c>
      <c r="H53" s="77" t="s">
        <v>533</v>
      </c>
      <c r="I53" s="77" t="s">
        <v>451</v>
      </c>
      <c r="J53" s="77" t="s">
        <v>469</v>
      </c>
      <c r="K53" s="77" t="s">
        <v>451</v>
      </c>
      <c r="L53" s="77" t="s">
        <v>534</v>
      </c>
      <c r="M53" s="62" t="str">
        <f t="shared" si="0"/>
        <v>View on Google Map</v>
      </c>
    </row>
    <row r="54" spans="1:13">
      <c r="A54" s="77">
        <v>193</v>
      </c>
      <c r="B54" s="77" t="s">
        <v>535</v>
      </c>
      <c r="C54" s="77" t="s">
        <v>451</v>
      </c>
      <c r="D54" s="77">
        <v>69.283333333333331</v>
      </c>
      <c r="E54" s="77">
        <v>-148.9</v>
      </c>
      <c r="F54" s="77">
        <v>346</v>
      </c>
      <c r="G54" s="77" t="s">
        <v>460</v>
      </c>
      <c r="H54" s="77" t="s">
        <v>536</v>
      </c>
      <c r="I54" s="77" t="s">
        <v>451</v>
      </c>
      <c r="J54" s="77" t="s">
        <v>469</v>
      </c>
      <c r="K54" s="77" t="s">
        <v>451</v>
      </c>
      <c r="L54" s="77" t="s">
        <v>532</v>
      </c>
      <c r="M54" s="62" t="str">
        <f t="shared" si="0"/>
        <v>View on Google Map</v>
      </c>
    </row>
    <row r="55" spans="1:13">
      <c r="A55" s="77">
        <v>278</v>
      </c>
      <c r="B55" s="77" t="s">
        <v>535</v>
      </c>
      <c r="C55" s="77" t="s">
        <v>451</v>
      </c>
      <c r="D55" s="77">
        <v>70.374600000000001</v>
      </c>
      <c r="E55" s="77">
        <v>-149.06383333333332</v>
      </c>
      <c r="F55" s="77">
        <v>6</v>
      </c>
      <c r="G55" s="77" t="s">
        <v>460</v>
      </c>
      <c r="H55" s="77" t="s">
        <v>537</v>
      </c>
      <c r="I55" s="77" t="s">
        <v>451</v>
      </c>
      <c r="J55" s="77" t="s">
        <v>469</v>
      </c>
      <c r="K55" s="77" t="s">
        <v>451</v>
      </c>
      <c r="L55" s="77" t="s">
        <v>534</v>
      </c>
      <c r="M55" s="62" t="str">
        <f t="shared" si="0"/>
        <v>View on Google Map</v>
      </c>
    </row>
    <row r="56" spans="1:13">
      <c r="A56" s="77">
        <v>194</v>
      </c>
      <c r="B56" s="77" t="s">
        <v>538</v>
      </c>
      <c r="C56" s="77" t="s">
        <v>451</v>
      </c>
      <c r="D56" s="77">
        <v>69.716666666666669</v>
      </c>
      <c r="E56" s="77">
        <v>-149.44999999999999</v>
      </c>
      <c r="F56" s="77">
        <v>91</v>
      </c>
      <c r="G56" s="77" t="s">
        <v>460</v>
      </c>
      <c r="H56" s="77" t="s">
        <v>539</v>
      </c>
      <c r="I56" s="77" t="s">
        <v>451</v>
      </c>
      <c r="J56" s="77" t="s">
        <v>469</v>
      </c>
      <c r="K56" s="77" t="s">
        <v>451</v>
      </c>
      <c r="L56" s="77" t="s">
        <v>532</v>
      </c>
      <c r="M56" s="62" t="str">
        <f t="shared" si="0"/>
        <v>View on Google Map</v>
      </c>
    </row>
    <row r="57" spans="1:13">
      <c r="A57" s="77">
        <v>279</v>
      </c>
      <c r="B57" s="77" t="s">
        <v>538</v>
      </c>
      <c r="C57" s="77" t="s">
        <v>451</v>
      </c>
      <c r="D57" s="77">
        <v>70.367750000000001</v>
      </c>
      <c r="E57" s="77">
        <v>-148.8357</v>
      </c>
      <c r="F57" s="77">
        <v>6</v>
      </c>
      <c r="G57" s="77" t="s">
        <v>460</v>
      </c>
      <c r="H57" s="77" t="s">
        <v>540</v>
      </c>
      <c r="I57" s="77" t="s">
        <v>451</v>
      </c>
      <c r="J57" s="77" t="s">
        <v>469</v>
      </c>
      <c r="K57" s="77" t="s">
        <v>451</v>
      </c>
      <c r="L57" s="77" t="s">
        <v>534</v>
      </c>
      <c r="M57" s="62" t="str">
        <f t="shared" si="0"/>
        <v>View on Google Map</v>
      </c>
    </row>
    <row r="58" spans="1:13">
      <c r="A58" s="77">
        <v>195</v>
      </c>
      <c r="B58" s="77" t="s">
        <v>541</v>
      </c>
      <c r="C58" s="77" t="s">
        <v>451</v>
      </c>
      <c r="D58" s="77">
        <v>69.716666666666669</v>
      </c>
      <c r="E58" s="77">
        <v>-149.44999999999999</v>
      </c>
      <c r="F58" s="77">
        <v>91</v>
      </c>
      <c r="G58" s="77" t="s">
        <v>460</v>
      </c>
      <c r="H58" s="77" t="s">
        <v>542</v>
      </c>
      <c r="I58" s="77" t="s">
        <v>451</v>
      </c>
      <c r="J58" s="77" t="s">
        <v>469</v>
      </c>
      <c r="K58" s="77" t="s">
        <v>451</v>
      </c>
      <c r="L58" s="77" t="s">
        <v>532</v>
      </c>
      <c r="M58" s="62" t="str">
        <f t="shared" si="0"/>
        <v>View on Google Map</v>
      </c>
    </row>
    <row r="59" spans="1:13">
      <c r="A59" s="77">
        <v>280</v>
      </c>
      <c r="B59" s="77" t="s">
        <v>541</v>
      </c>
      <c r="C59" s="77" t="s">
        <v>451</v>
      </c>
      <c r="D59" s="77">
        <v>70.367750000000001</v>
      </c>
      <c r="E59" s="77">
        <v>-148.8357</v>
      </c>
      <c r="F59" s="77">
        <v>6</v>
      </c>
      <c r="G59" s="77" t="s">
        <v>460</v>
      </c>
      <c r="H59" s="77" t="s">
        <v>543</v>
      </c>
      <c r="I59" s="77" t="s">
        <v>451</v>
      </c>
      <c r="J59" s="77" t="s">
        <v>469</v>
      </c>
      <c r="K59" s="77" t="s">
        <v>451</v>
      </c>
      <c r="L59" s="77" t="s">
        <v>534</v>
      </c>
      <c r="M59" s="62" t="str">
        <f t="shared" si="0"/>
        <v>View on Google Map</v>
      </c>
    </row>
    <row r="60" spans="1:13">
      <c r="A60" s="77">
        <v>196</v>
      </c>
      <c r="B60" s="77" t="s">
        <v>544</v>
      </c>
      <c r="C60" s="77" t="s">
        <v>451</v>
      </c>
      <c r="D60" s="77">
        <v>69.833333333333329</v>
      </c>
      <c r="E60" s="77">
        <v>-149.75</v>
      </c>
      <c r="F60" s="77">
        <v>80</v>
      </c>
      <c r="G60" s="77" t="s">
        <v>460</v>
      </c>
      <c r="H60" s="77" t="s">
        <v>545</v>
      </c>
      <c r="I60" s="77" t="s">
        <v>451</v>
      </c>
      <c r="J60" s="77" t="s">
        <v>469</v>
      </c>
      <c r="K60" s="77" t="s">
        <v>451</v>
      </c>
      <c r="L60" s="77" t="s">
        <v>532</v>
      </c>
      <c r="M60" s="62" t="str">
        <f t="shared" si="0"/>
        <v>View on Google Map</v>
      </c>
    </row>
    <row r="61" spans="1:13">
      <c r="A61" s="77">
        <v>281</v>
      </c>
      <c r="B61" s="77" t="s">
        <v>544</v>
      </c>
      <c r="C61" s="77" t="s">
        <v>451</v>
      </c>
      <c r="D61" s="77">
        <v>70.26821666666666</v>
      </c>
      <c r="E61" s="77">
        <v>-149.20859999999999</v>
      </c>
      <c r="F61" s="77">
        <v>15</v>
      </c>
      <c r="G61" s="77" t="s">
        <v>460</v>
      </c>
      <c r="H61" s="77" t="s">
        <v>546</v>
      </c>
      <c r="I61" s="77" t="s">
        <v>451</v>
      </c>
      <c r="J61" s="77" t="s">
        <v>469</v>
      </c>
      <c r="K61" s="77" t="s">
        <v>451</v>
      </c>
      <c r="L61" s="77" t="s">
        <v>534</v>
      </c>
      <c r="M61" s="62" t="str">
        <f t="shared" si="0"/>
        <v>View on Google Map</v>
      </c>
    </row>
    <row r="62" spans="1:13">
      <c r="A62" s="77">
        <v>197</v>
      </c>
      <c r="B62" s="77" t="s">
        <v>547</v>
      </c>
      <c r="C62" s="77" t="s">
        <v>451</v>
      </c>
      <c r="D62" s="77">
        <v>70.283333333333331</v>
      </c>
      <c r="E62" s="77">
        <v>-150.19999999999999</v>
      </c>
      <c r="F62" s="77">
        <v>12</v>
      </c>
      <c r="G62" s="77" t="s">
        <v>460</v>
      </c>
      <c r="H62" s="77" t="s">
        <v>548</v>
      </c>
      <c r="I62" s="77" t="s">
        <v>451</v>
      </c>
      <c r="J62" s="77" t="s">
        <v>469</v>
      </c>
      <c r="K62" s="77" t="s">
        <v>451</v>
      </c>
      <c r="L62" s="77" t="s">
        <v>532</v>
      </c>
      <c r="M62" s="62" t="str">
        <f t="shared" si="0"/>
        <v>View on Google Map</v>
      </c>
    </row>
    <row r="63" spans="1:13">
      <c r="A63" s="77">
        <v>282</v>
      </c>
      <c r="B63" s="77" t="s">
        <v>547</v>
      </c>
      <c r="C63" s="77" t="s">
        <v>451</v>
      </c>
      <c r="D63" s="77">
        <v>70.26821666666666</v>
      </c>
      <c r="E63" s="77">
        <v>-149.20859999999999</v>
      </c>
      <c r="F63" s="77">
        <v>15</v>
      </c>
      <c r="G63" s="77" t="s">
        <v>460</v>
      </c>
      <c r="H63" s="77" t="s">
        <v>549</v>
      </c>
      <c r="I63" s="77" t="s">
        <v>451</v>
      </c>
      <c r="J63" s="77" t="s">
        <v>469</v>
      </c>
      <c r="K63" s="77" t="s">
        <v>451</v>
      </c>
      <c r="L63" s="77" t="s">
        <v>534</v>
      </c>
      <c r="M63" s="62" t="str">
        <f t="shared" si="0"/>
        <v>View on Google Map</v>
      </c>
    </row>
    <row r="64" spans="1:13">
      <c r="A64" s="77">
        <v>198</v>
      </c>
      <c r="B64" s="77" t="s">
        <v>550</v>
      </c>
      <c r="C64" s="77" t="s">
        <v>451</v>
      </c>
      <c r="D64" s="77">
        <v>70.283333333333331</v>
      </c>
      <c r="E64" s="77">
        <v>-150.19999999999999</v>
      </c>
      <c r="F64" s="77">
        <v>12</v>
      </c>
      <c r="G64" s="77" t="s">
        <v>460</v>
      </c>
      <c r="H64" s="77" t="s">
        <v>551</v>
      </c>
      <c r="I64" s="77" t="s">
        <v>451</v>
      </c>
      <c r="J64" s="77" t="s">
        <v>469</v>
      </c>
      <c r="K64" s="77" t="s">
        <v>451</v>
      </c>
      <c r="L64" s="77" t="s">
        <v>532</v>
      </c>
      <c r="M64" s="62" t="str">
        <f t="shared" si="0"/>
        <v>View on Google Map</v>
      </c>
    </row>
    <row r="65" spans="1:13">
      <c r="A65" s="77">
        <v>283</v>
      </c>
      <c r="B65" s="77" t="s">
        <v>550</v>
      </c>
      <c r="C65" s="77" t="s">
        <v>451</v>
      </c>
      <c r="D65" s="77">
        <v>70.184266666666673</v>
      </c>
      <c r="E65" s="77">
        <v>-149.15443333333334</v>
      </c>
      <c r="F65" s="77">
        <v>15</v>
      </c>
      <c r="G65" s="77" t="s">
        <v>460</v>
      </c>
      <c r="H65" s="77" t="s">
        <v>552</v>
      </c>
      <c r="I65" s="77" t="s">
        <v>451</v>
      </c>
      <c r="J65" s="77" t="s">
        <v>469</v>
      </c>
      <c r="K65" s="77" t="s">
        <v>451</v>
      </c>
      <c r="L65" s="77" t="s">
        <v>534</v>
      </c>
      <c r="M65" s="62" t="str">
        <f t="shared" si="0"/>
        <v>View on Google Map</v>
      </c>
    </row>
    <row r="66" spans="1:13">
      <c r="A66" s="77">
        <v>199</v>
      </c>
      <c r="B66" s="77" t="s">
        <v>553</v>
      </c>
      <c r="C66" s="77" t="s">
        <v>451</v>
      </c>
      <c r="D66" s="77">
        <v>70.416666666666671</v>
      </c>
      <c r="E66" s="77">
        <v>-150.19999999999999</v>
      </c>
      <c r="F66" s="77">
        <v>4</v>
      </c>
      <c r="G66" s="77" t="s">
        <v>460</v>
      </c>
      <c r="H66" s="77" t="s">
        <v>554</v>
      </c>
      <c r="I66" s="77" t="s">
        <v>451</v>
      </c>
      <c r="J66" s="77" t="s">
        <v>469</v>
      </c>
      <c r="K66" s="77" t="s">
        <v>451</v>
      </c>
      <c r="L66" s="77" t="s">
        <v>532</v>
      </c>
      <c r="M66" s="62" t="str">
        <f t="shared" si="0"/>
        <v>View on Google Map</v>
      </c>
    </row>
    <row r="67" spans="1:13">
      <c r="A67" s="77">
        <v>284</v>
      </c>
      <c r="B67" s="77" t="s">
        <v>553</v>
      </c>
      <c r="C67" s="77" t="s">
        <v>451</v>
      </c>
      <c r="D67" s="77">
        <v>70.184266666666673</v>
      </c>
      <c r="E67" s="77">
        <v>-149.15443333333334</v>
      </c>
      <c r="F67" s="77">
        <v>15</v>
      </c>
      <c r="G67" s="77" t="s">
        <v>460</v>
      </c>
      <c r="H67" s="77" t="s">
        <v>555</v>
      </c>
      <c r="I67" s="77" t="s">
        <v>451</v>
      </c>
      <c r="J67" s="77" t="s">
        <v>469</v>
      </c>
      <c r="K67" s="77" t="s">
        <v>451</v>
      </c>
      <c r="L67" s="77" t="s">
        <v>534</v>
      </c>
      <c r="M67" s="62" t="str">
        <f t="shared" ref="M67:M130" si="1">HYPERLINK("http://maps.google.com/maps?q="&amp;D67&amp;","&amp;E67,"View on Google Map")</f>
        <v>View on Google Map</v>
      </c>
    </row>
    <row r="68" spans="1:13">
      <c r="A68" s="77">
        <v>200</v>
      </c>
      <c r="B68" s="77" t="s">
        <v>556</v>
      </c>
      <c r="C68" s="77" t="s">
        <v>451</v>
      </c>
      <c r="D68" s="77">
        <v>70.283333333333331</v>
      </c>
      <c r="E68" s="77">
        <v>-149.81666666666666</v>
      </c>
      <c r="F68" s="77">
        <v>28.963414634146343</v>
      </c>
      <c r="G68" s="77" t="s">
        <v>460</v>
      </c>
      <c r="H68" s="77" t="s">
        <v>557</v>
      </c>
      <c r="I68" s="77" t="s">
        <v>451</v>
      </c>
      <c r="J68" s="77" t="s">
        <v>469</v>
      </c>
      <c r="K68" s="77" t="s">
        <v>451</v>
      </c>
      <c r="L68" s="77" t="s">
        <v>532</v>
      </c>
      <c r="M68" s="62" t="str">
        <f t="shared" si="1"/>
        <v>View on Google Map</v>
      </c>
    </row>
    <row r="69" spans="1:13">
      <c r="A69" s="77">
        <v>285</v>
      </c>
      <c r="B69" s="77" t="s">
        <v>556</v>
      </c>
      <c r="C69" s="77" t="s">
        <v>451</v>
      </c>
      <c r="D69" s="77">
        <v>70.126099999999994</v>
      </c>
      <c r="E69" s="77">
        <v>-149.33773333333335</v>
      </c>
      <c r="F69" s="77">
        <v>30</v>
      </c>
      <c r="G69" s="77" t="s">
        <v>460</v>
      </c>
      <c r="H69" s="77" t="s">
        <v>558</v>
      </c>
      <c r="I69" s="77" t="s">
        <v>451</v>
      </c>
      <c r="J69" s="77" t="s">
        <v>469</v>
      </c>
      <c r="K69" s="77" t="s">
        <v>451</v>
      </c>
      <c r="L69" s="77" t="s">
        <v>534</v>
      </c>
      <c r="M69" s="62" t="str">
        <f t="shared" si="1"/>
        <v>View on Google Map</v>
      </c>
    </row>
    <row r="70" spans="1:13">
      <c r="A70" s="77">
        <v>201</v>
      </c>
      <c r="B70" s="77" t="s">
        <v>559</v>
      </c>
      <c r="C70" s="77" t="s">
        <v>451</v>
      </c>
      <c r="D70" s="77">
        <v>70.283333333333331</v>
      </c>
      <c r="E70" s="77">
        <v>-149.81666666666666</v>
      </c>
      <c r="F70" s="77">
        <v>28.963414634146343</v>
      </c>
      <c r="G70" s="77" t="s">
        <v>460</v>
      </c>
      <c r="H70" s="77" t="s">
        <v>560</v>
      </c>
      <c r="I70" s="77" t="s">
        <v>451</v>
      </c>
      <c r="J70" s="77" t="s">
        <v>469</v>
      </c>
      <c r="K70" s="77" t="s">
        <v>451</v>
      </c>
      <c r="L70" s="77" t="s">
        <v>532</v>
      </c>
      <c r="M70" s="62" t="str">
        <f t="shared" si="1"/>
        <v>View on Google Map</v>
      </c>
    </row>
    <row r="71" spans="1:13">
      <c r="A71" s="77">
        <v>286</v>
      </c>
      <c r="B71" s="77" t="s">
        <v>559</v>
      </c>
      <c r="C71" s="77" t="s">
        <v>451</v>
      </c>
      <c r="D71" s="77">
        <v>70.126099999999994</v>
      </c>
      <c r="E71" s="77">
        <v>-149.33773333333335</v>
      </c>
      <c r="F71" s="77">
        <v>30</v>
      </c>
      <c r="G71" s="77" t="s">
        <v>460</v>
      </c>
      <c r="H71" s="77" t="s">
        <v>561</v>
      </c>
      <c r="I71" s="77" t="s">
        <v>451</v>
      </c>
      <c r="J71" s="77" t="s">
        <v>469</v>
      </c>
      <c r="K71" s="77" t="s">
        <v>451</v>
      </c>
      <c r="L71" s="77" t="s">
        <v>534</v>
      </c>
      <c r="M71" s="62" t="str">
        <f t="shared" si="1"/>
        <v>View on Google Map</v>
      </c>
    </row>
    <row r="72" spans="1:13">
      <c r="A72" s="77">
        <v>202</v>
      </c>
      <c r="B72" s="77" t="s">
        <v>562</v>
      </c>
      <c r="C72" s="77" t="s">
        <v>451</v>
      </c>
      <c r="D72" s="77">
        <v>70.45</v>
      </c>
      <c r="E72" s="77">
        <v>-149.16666666666666</v>
      </c>
      <c r="F72" s="77">
        <v>4.8780487804878048</v>
      </c>
      <c r="G72" s="77" t="s">
        <v>460</v>
      </c>
      <c r="H72" s="77" t="s">
        <v>563</v>
      </c>
      <c r="I72" s="77" t="s">
        <v>451</v>
      </c>
      <c r="J72" s="77" t="s">
        <v>469</v>
      </c>
      <c r="K72" s="77" t="s">
        <v>451</v>
      </c>
      <c r="L72" s="77" t="s">
        <v>532</v>
      </c>
      <c r="M72" s="62" t="str">
        <f t="shared" si="1"/>
        <v>View on Google Map</v>
      </c>
    </row>
    <row r="73" spans="1:13">
      <c r="A73" s="77">
        <v>287</v>
      </c>
      <c r="B73" s="77" t="s">
        <v>562</v>
      </c>
      <c r="C73" s="77" t="s">
        <v>451</v>
      </c>
      <c r="D73" s="77">
        <v>69.9221</v>
      </c>
      <c r="E73" s="77">
        <v>-149.34523333333334</v>
      </c>
      <c r="F73" s="77">
        <v>61</v>
      </c>
      <c r="G73" s="77" t="s">
        <v>460</v>
      </c>
      <c r="H73" s="77" t="s">
        <v>564</v>
      </c>
      <c r="I73" s="77" t="s">
        <v>451</v>
      </c>
      <c r="J73" s="77" t="s">
        <v>469</v>
      </c>
      <c r="K73" s="77" t="s">
        <v>451</v>
      </c>
      <c r="L73" s="77" t="s">
        <v>534</v>
      </c>
      <c r="M73" s="62" t="str">
        <f t="shared" si="1"/>
        <v>View on Google Map</v>
      </c>
    </row>
    <row r="74" spans="1:13">
      <c r="A74" s="77">
        <v>203</v>
      </c>
      <c r="B74" s="77" t="s">
        <v>565</v>
      </c>
      <c r="C74" s="77" t="s">
        <v>451</v>
      </c>
      <c r="D74" s="77">
        <v>70.233333333333334</v>
      </c>
      <c r="E74" s="77">
        <v>-148.88333333333333</v>
      </c>
      <c r="F74" s="77">
        <v>17.682926829268293</v>
      </c>
      <c r="G74" s="77" t="s">
        <v>460</v>
      </c>
      <c r="H74" s="77" t="s">
        <v>566</v>
      </c>
      <c r="I74" s="77" t="s">
        <v>451</v>
      </c>
      <c r="J74" s="77" t="s">
        <v>469</v>
      </c>
      <c r="K74" s="77" t="s">
        <v>451</v>
      </c>
      <c r="L74" s="77" t="s">
        <v>532</v>
      </c>
      <c r="M74" s="62" t="str">
        <f t="shared" si="1"/>
        <v>View on Google Map</v>
      </c>
    </row>
    <row r="75" spans="1:13">
      <c r="A75" s="77">
        <v>288</v>
      </c>
      <c r="B75" s="77" t="s">
        <v>565</v>
      </c>
      <c r="C75" s="77" t="s">
        <v>451</v>
      </c>
      <c r="D75" s="77">
        <v>69.9221</v>
      </c>
      <c r="E75" s="77">
        <v>-149.34523333333334</v>
      </c>
      <c r="F75" s="77">
        <v>61</v>
      </c>
      <c r="G75" s="77" t="s">
        <v>460</v>
      </c>
      <c r="H75" s="77" t="s">
        <v>567</v>
      </c>
      <c r="I75" s="77" t="s">
        <v>451</v>
      </c>
      <c r="J75" s="77" t="s">
        <v>469</v>
      </c>
      <c r="K75" s="77" t="s">
        <v>451</v>
      </c>
      <c r="L75" s="77" t="s">
        <v>534</v>
      </c>
      <c r="M75" s="62" t="str">
        <f t="shared" si="1"/>
        <v>View on Google Map</v>
      </c>
    </row>
    <row r="76" spans="1:13">
      <c r="A76" s="77">
        <v>204</v>
      </c>
      <c r="B76" s="77" t="s">
        <v>568</v>
      </c>
      <c r="C76" s="77" t="s">
        <v>451</v>
      </c>
      <c r="D76" s="77">
        <v>70.233333333333334</v>
      </c>
      <c r="E76" s="77">
        <v>-148.88333333333333</v>
      </c>
      <c r="F76" s="77">
        <v>17.682926829268293</v>
      </c>
      <c r="G76" s="77" t="s">
        <v>460</v>
      </c>
      <c r="H76" s="77" t="s">
        <v>569</v>
      </c>
      <c r="I76" s="77" t="s">
        <v>451</v>
      </c>
      <c r="J76" s="77" t="s">
        <v>469</v>
      </c>
      <c r="K76" s="77" t="s">
        <v>451</v>
      </c>
      <c r="L76" s="77" t="s">
        <v>532</v>
      </c>
      <c r="M76" s="62" t="str">
        <f t="shared" si="1"/>
        <v>View on Google Map</v>
      </c>
    </row>
    <row r="77" spans="1:13">
      <c r="A77" s="77">
        <v>289</v>
      </c>
      <c r="B77" s="77" t="s">
        <v>568</v>
      </c>
      <c r="C77" s="77" t="s">
        <v>451</v>
      </c>
      <c r="D77" s="77">
        <v>69.986533333333327</v>
      </c>
      <c r="E77" s="77">
        <v>-150.08543333333333</v>
      </c>
      <c r="F77" s="77">
        <v>125</v>
      </c>
      <c r="G77" s="77" t="s">
        <v>460</v>
      </c>
      <c r="H77" s="77" t="s">
        <v>570</v>
      </c>
      <c r="I77" s="77" t="s">
        <v>451</v>
      </c>
      <c r="J77" s="77" t="s">
        <v>469</v>
      </c>
      <c r="K77" s="77" t="s">
        <v>451</v>
      </c>
      <c r="L77" s="77" t="s">
        <v>534</v>
      </c>
      <c r="M77" s="62" t="str">
        <f t="shared" si="1"/>
        <v>View on Google Map</v>
      </c>
    </row>
    <row r="78" spans="1:13">
      <c r="A78" s="77">
        <v>205</v>
      </c>
      <c r="B78" s="77" t="s">
        <v>571</v>
      </c>
      <c r="C78" s="77" t="s">
        <v>451</v>
      </c>
      <c r="D78" s="77">
        <v>70.13333333333334</v>
      </c>
      <c r="E78" s="77">
        <v>-148.6</v>
      </c>
      <c r="F78" s="77">
        <v>24.390243902439025</v>
      </c>
      <c r="G78" s="77" t="s">
        <v>460</v>
      </c>
      <c r="H78" s="77" t="s">
        <v>572</v>
      </c>
      <c r="I78" s="77" t="s">
        <v>451</v>
      </c>
      <c r="J78" s="77" t="s">
        <v>469</v>
      </c>
      <c r="K78" s="77" t="s">
        <v>451</v>
      </c>
      <c r="L78" s="77" t="s">
        <v>532</v>
      </c>
      <c r="M78" s="62" t="str">
        <f t="shared" si="1"/>
        <v>View on Google Map</v>
      </c>
    </row>
    <row r="79" spans="1:13">
      <c r="A79" s="77">
        <v>290</v>
      </c>
      <c r="B79" s="77" t="s">
        <v>571</v>
      </c>
      <c r="C79" s="77" t="s">
        <v>451</v>
      </c>
      <c r="D79" s="77">
        <v>69.986533333333327</v>
      </c>
      <c r="E79" s="77">
        <v>-150.08543333333333</v>
      </c>
      <c r="F79" s="77">
        <v>125</v>
      </c>
      <c r="G79" s="77" t="s">
        <v>460</v>
      </c>
      <c r="H79" s="77" t="s">
        <v>573</v>
      </c>
      <c r="I79" s="77" t="s">
        <v>451</v>
      </c>
      <c r="J79" s="77" t="s">
        <v>469</v>
      </c>
      <c r="K79" s="77" t="s">
        <v>451</v>
      </c>
      <c r="L79" s="77" t="s">
        <v>534</v>
      </c>
      <c r="M79" s="62" t="str">
        <f t="shared" si="1"/>
        <v>View on Google Map</v>
      </c>
    </row>
    <row r="80" spans="1:13">
      <c r="A80" s="77">
        <v>291</v>
      </c>
      <c r="B80" s="77" t="s">
        <v>574</v>
      </c>
      <c r="C80" s="77" t="s">
        <v>451</v>
      </c>
      <c r="D80" s="77">
        <v>69.639166666666668</v>
      </c>
      <c r="E80" s="77">
        <v>-149.73946666666666</v>
      </c>
      <c r="F80" s="77">
        <v>91</v>
      </c>
      <c r="G80" s="77" t="s">
        <v>460</v>
      </c>
      <c r="H80" s="77" t="s">
        <v>575</v>
      </c>
      <c r="I80" s="77" t="s">
        <v>451</v>
      </c>
      <c r="J80" s="77" t="s">
        <v>469</v>
      </c>
      <c r="K80" s="77" t="s">
        <v>451</v>
      </c>
      <c r="L80" s="77" t="s">
        <v>534</v>
      </c>
      <c r="M80" s="62" t="str">
        <f t="shared" si="1"/>
        <v>View on Google Map</v>
      </c>
    </row>
    <row r="81" spans="1:13">
      <c r="A81" s="77">
        <v>206</v>
      </c>
      <c r="B81" s="77" t="s">
        <v>576</v>
      </c>
      <c r="C81" s="77" t="s">
        <v>451</v>
      </c>
      <c r="D81" s="77">
        <v>70.11666666666666</v>
      </c>
      <c r="E81" s="77">
        <v>-146.16666666666666</v>
      </c>
      <c r="F81" s="77">
        <v>3.0487804878048781</v>
      </c>
      <c r="G81" s="77" t="s">
        <v>460</v>
      </c>
      <c r="H81" s="77" t="s">
        <v>577</v>
      </c>
      <c r="I81" s="77" t="s">
        <v>451</v>
      </c>
      <c r="J81" s="77" t="s">
        <v>469</v>
      </c>
      <c r="K81" s="77" t="s">
        <v>451</v>
      </c>
      <c r="L81" s="77" t="s">
        <v>532</v>
      </c>
      <c r="M81" s="62" t="str">
        <f t="shared" si="1"/>
        <v>View on Google Map</v>
      </c>
    </row>
    <row r="82" spans="1:13">
      <c r="A82" s="77">
        <v>292</v>
      </c>
      <c r="B82" s="77" t="s">
        <v>576</v>
      </c>
      <c r="C82" s="77" t="s">
        <v>451</v>
      </c>
      <c r="D82" s="77">
        <v>69.639166666666668</v>
      </c>
      <c r="E82" s="77">
        <v>-149.73946666666666</v>
      </c>
      <c r="F82" s="77">
        <v>91</v>
      </c>
      <c r="G82" s="77" t="s">
        <v>460</v>
      </c>
      <c r="H82" s="77" t="s">
        <v>578</v>
      </c>
      <c r="I82" s="77" t="s">
        <v>451</v>
      </c>
      <c r="J82" s="77" t="s">
        <v>469</v>
      </c>
      <c r="K82" s="77" t="s">
        <v>451</v>
      </c>
      <c r="L82" s="77" t="s">
        <v>534</v>
      </c>
      <c r="M82" s="62" t="str">
        <f t="shared" si="1"/>
        <v>View on Google Map</v>
      </c>
    </row>
    <row r="83" spans="1:13">
      <c r="A83" s="77">
        <v>207</v>
      </c>
      <c r="B83" s="77" t="s">
        <v>579</v>
      </c>
      <c r="C83" s="77" t="s">
        <v>451</v>
      </c>
      <c r="D83" s="77">
        <v>70.099999999999994</v>
      </c>
      <c r="E83" s="77">
        <v>-146.26666666666668</v>
      </c>
      <c r="F83" s="77">
        <v>9.1463414634146343</v>
      </c>
      <c r="G83" s="77" t="s">
        <v>460</v>
      </c>
      <c r="H83" s="77" t="s">
        <v>580</v>
      </c>
      <c r="I83" s="77" t="s">
        <v>451</v>
      </c>
      <c r="J83" s="77" t="s">
        <v>469</v>
      </c>
      <c r="K83" s="77" t="s">
        <v>451</v>
      </c>
      <c r="L83" s="77" t="s">
        <v>532</v>
      </c>
      <c r="M83" s="62" t="str">
        <f t="shared" si="1"/>
        <v>View on Google Map</v>
      </c>
    </row>
    <row r="84" spans="1:13">
      <c r="A84" s="77">
        <v>293</v>
      </c>
      <c r="B84" s="77" t="s">
        <v>579</v>
      </c>
      <c r="C84" s="77" t="s">
        <v>451</v>
      </c>
      <c r="D84" s="77">
        <v>68.820783333333338</v>
      </c>
      <c r="E84" s="77">
        <v>-149.7646</v>
      </c>
      <c r="F84" s="77">
        <v>579</v>
      </c>
      <c r="G84" s="77" t="s">
        <v>460</v>
      </c>
      <c r="H84" s="77" t="s">
        <v>581</v>
      </c>
      <c r="I84" s="77" t="s">
        <v>451</v>
      </c>
      <c r="J84" s="77" t="s">
        <v>469</v>
      </c>
      <c r="K84" s="77" t="s">
        <v>451</v>
      </c>
      <c r="L84" s="77" t="s">
        <v>534</v>
      </c>
      <c r="M84" s="62" t="str">
        <f t="shared" si="1"/>
        <v>View on Google Map</v>
      </c>
    </row>
    <row r="85" spans="1:13">
      <c r="A85" s="77">
        <v>208</v>
      </c>
      <c r="B85" s="77" t="s">
        <v>582</v>
      </c>
      <c r="C85" s="77" t="s">
        <v>451</v>
      </c>
      <c r="D85" s="77">
        <v>70.05</v>
      </c>
      <c r="E85" s="77">
        <v>-146.98333333333332</v>
      </c>
      <c r="F85" s="77">
        <v>24.390243902439025</v>
      </c>
      <c r="G85" s="77" t="s">
        <v>460</v>
      </c>
      <c r="H85" s="77" t="s">
        <v>583</v>
      </c>
      <c r="I85" s="77" t="s">
        <v>451</v>
      </c>
      <c r="J85" s="77" t="s">
        <v>469</v>
      </c>
      <c r="K85" s="77" t="s">
        <v>451</v>
      </c>
      <c r="L85" s="77" t="s">
        <v>532</v>
      </c>
      <c r="M85" s="62" t="str">
        <f t="shared" si="1"/>
        <v>View on Google Map</v>
      </c>
    </row>
    <row r="86" spans="1:13">
      <c r="A86" s="77">
        <v>294</v>
      </c>
      <c r="B86" s="77" t="s">
        <v>582</v>
      </c>
      <c r="C86" s="77" t="s">
        <v>451</v>
      </c>
      <c r="D86" s="77">
        <v>68.820616666666666</v>
      </c>
      <c r="E86" s="77">
        <v>-149.74383333333333</v>
      </c>
      <c r="F86" s="77">
        <v>579</v>
      </c>
      <c r="G86" s="77" t="s">
        <v>460</v>
      </c>
      <c r="H86" s="77" t="s">
        <v>584</v>
      </c>
      <c r="I86" s="77" t="s">
        <v>451</v>
      </c>
      <c r="J86" s="77" t="s">
        <v>469</v>
      </c>
      <c r="K86" s="77" t="s">
        <v>451</v>
      </c>
      <c r="L86" s="77" t="s">
        <v>534</v>
      </c>
      <c r="M86" s="62" t="str">
        <f t="shared" si="1"/>
        <v>View on Google Map</v>
      </c>
    </row>
    <row r="87" spans="1:13">
      <c r="A87" s="77">
        <v>209</v>
      </c>
      <c r="B87" s="77" t="s">
        <v>585</v>
      </c>
      <c r="C87" s="77" t="s">
        <v>451</v>
      </c>
      <c r="D87" s="77">
        <v>70.05</v>
      </c>
      <c r="E87" s="77">
        <v>-146.98333333333332</v>
      </c>
      <c r="F87" s="77">
        <v>24.390243902439025</v>
      </c>
      <c r="G87" s="77" t="s">
        <v>460</v>
      </c>
      <c r="H87" s="77" t="s">
        <v>586</v>
      </c>
      <c r="I87" s="77" t="s">
        <v>451</v>
      </c>
      <c r="J87" s="77" t="s">
        <v>469</v>
      </c>
      <c r="K87" s="77" t="s">
        <v>451</v>
      </c>
      <c r="L87" s="77" t="s">
        <v>532</v>
      </c>
      <c r="M87" s="62" t="str">
        <f t="shared" si="1"/>
        <v>View on Google Map</v>
      </c>
    </row>
    <row r="88" spans="1:13">
      <c r="A88" s="77">
        <v>295</v>
      </c>
      <c r="B88" s="77" t="s">
        <v>585</v>
      </c>
      <c r="C88" s="77" t="s">
        <v>451</v>
      </c>
      <c r="D88" s="77">
        <v>68.821529999999996</v>
      </c>
      <c r="E88" s="77">
        <v>-149.05867000000001</v>
      </c>
      <c r="F88" s="77">
        <v>518</v>
      </c>
      <c r="G88" s="77" t="s">
        <v>460</v>
      </c>
      <c r="H88" s="77" t="s">
        <v>587</v>
      </c>
      <c r="I88" s="77" t="s">
        <v>451</v>
      </c>
      <c r="J88" s="77" t="s">
        <v>469</v>
      </c>
      <c r="K88" s="77" t="s">
        <v>451</v>
      </c>
      <c r="L88" s="77" t="s">
        <v>534</v>
      </c>
      <c r="M88" s="62" t="str">
        <f t="shared" si="1"/>
        <v>View on Google Map</v>
      </c>
    </row>
    <row r="89" spans="1:13">
      <c r="A89" s="77">
        <v>210</v>
      </c>
      <c r="B89" s="77" t="s">
        <v>588</v>
      </c>
      <c r="C89" s="77" t="s">
        <v>451</v>
      </c>
      <c r="D89" s="77">
        <v>70.150000000000006</v>
      </c>
      <c r="E89" s="77">
        <v>-147.36666666666667</v>
      </c>
      <c r="F89" s="77">
        <v>6.7073170731707323</v>
      </c>
      <c r="G89" s="77" t="s">
        <v>460</v>
      </c>
      <c r="H89" s="77" t="s">
        <v>589</v>
      </c>
      <c r="I89" s="77" t="s">
        <v>451</v>
      </c>
      <c r="J89" s="77" t="s">
        <v>469</v>
      </c>
      <c r="K89" s="77" t="s">
        <v>451</v>
      </c>
      <c r="L89" s="77" t="s">
        <v>532</v>
      </c>
      <c r="M89" s="62" t="str">
        <f t="shared" si="1"/>
        <v>View on Google Map</v>
      </c>
    </row>
    <row r="90" spans="1:13">
      <c r="A90" s="77">
        <v>296</v>
      </c>
      <c r="B90" s="77" t="s">
        <v>588</v>
      </c>
      <c r="C90" s="77" t="s">
        <v>451</v>
      </c>
      <c r="D90" s="77">
        <v>68.817116666666664</v>
      </c>
      <c r="E90" s="77">
        <v>-149.05956666666665</v>
      </c>
      <c r="F90" s="77">
        <v>518</v>
      </c>
      <c r="G90" s="77" t="s">
        <v>460</v>
      </c>
      <c r="H90" s="77" t="s">
        <v>590</v>
      </c>
      <c r="I90" s="77" t="s">
        <v>451</v>
      </c>
      <c r="J90" s="77" t="s">
        <v>469</v>
      </c>
      <c r="K90" s="77" t="s">
        <v>451</v>
      </c>
      <c r="L90" s="77" t="s">
        <v>534</v>
      </c>
      <c r="M90" s="62" t="str">
        <f t="shared" si="1"/>
        <v>View on Google Map</v>
      </c>
    </row>
    <row r="91" spans="1:13">
      <c r="A91" s="77">
        <v>211</v>
      </c>
      <c r="B91" s="77" t="s">
        <v>591</v>
      </c>
      <c r="C91" s="77" t="s">
        <v>451</v>
      </c>
      <c r="D91" s="77">
        <v>70.150000000000006</v>
      </c>
      <c r="E91" s="77">
        <v>-147.36666666666667</v>
      </c>
      <c r="F91" s="77">
        <v>6.7073170731707323</v>
      </c>
      <c r="G91" s="77" t="s">
        <v>460</v>
      </c>
      <c r="H91" s="77" t="s">
        <v>592</v>
      </c>
      <c r="I91" s="77" t="s">
        <v>451</v>
      </c>
      <c r="J91" s="77" t="s">
        <v>469</v>
      </c>
      <c r="K91" s="77" t="s">
        <v>451</v>
      </c>
      <c r="L91" s="77" t="s">
        <v>532</v>
      </c>
      <c r="M91" s="62" t="str">
        <f t="shared" si="1"/>
        <v>View on Google Map</v>
      </c>
    </row>
    <row r="92" spans="1:13">
      <c r="A92" s="77">
        <v>297</v>
      </c>
      <c r="B92" s="77" t="s">
        <v>591</v>
      </c>
      <c r="C92" s="77" t="s">
        <v>451</v>
      </c>
      <c r="D92" s="77">
        <v>69.356183333333334</v>
      </c>
      <c r="E92" s="77">
        <v>-150.21899999999999</v>
      </c>
      <c r="F92" s="77">
        <v>168</v>
      </c>
      <c r="G92" s="77" t="s">
        <v>460</v>
      </c>
      <c r="H92" s="77" t="s">
        <v>593</v>
      </c>
      <c r="I92" s="77" t="s">
        <v>451</v>
      </c>
      <c r="J92" s="77" t="s">
        <v>469</v>
      </c>
      <c r="K92" s="77" t="s">
        <v>451</v>
      </c>
      <c r="L92" s="77" t="s">
        <v>534</v>
      </c>
      <c r="M92" s="62" t="str">
        <f t="shared" si="1"/>
        <v>View on Google Map</v>
      </c>
    </row>
    <row r="93" spans="1:13">
      <c r="A93" s="77">
        <v>212</v>
      </c>
      <c r="B93" s="77" t="s">
        <v>594</v>
      </c>
      <c r="C93" s="77" t="s">
        <v>451</v>
      </c>
      <c r="D93" s="77">
        <v>70.033333333333331</v>
      </c>
      <c r="E93" s="77">
        <v>-147.65</v>
      </c>
      <c r="F93" s="77">
        <v>28.04878048780488</v>
      </c>
      <c r="G93" s="77" t="s">
        <v>460</v>
      </c>
      <c r="H93" s="77" t="s">
        <v>595</v>
      </c>
      <c r="I93" s="77" t="s">
        <v>451</v>
      </c>
      <c r="J93" s="77" t="s">
        <v>469</v>
      </c>
      <c r="K93" s="77" t="s">
        <v>451</v>
      </c>
      <c r="L93" s="77" t="s">
        <v>532</v>
      </c>
      <c r="M93" s="62" t="str">
        <f t="shared" si="1"/>
        <v>View on Google Map</v>
      </c>
    </row>
    <row r="94" spans="1:13">
      <c r="A94" s="77">
        <v>298</v>
      </c>
      <c r="B94" s="77" t="s">
        <v>594</v>
      </c>
      <c r="C94" s="77" t="s">
        <v>451</v>
      </c>
      <c r="D94" s="77">
        <v>69.356183333333334</v>
      </c>
      <c r="E94" s="77">
        <v>-150.21899999999999</v>
      </c>
      <c r="F94" s="77">
        <v>168</v>
      </c>
      <c r="G94" s="77" t="s">
        <v>460</v>
      </c>
      <c r="H94" s="77" t="s">
        <v>596</v>
      </c>
      <c r="I94" s="77" t="s">
        <v>451</v>
      </c>
      <c r="J94" s="77" t="s">
        <v>469</v>
      </c>
      <c r="K94" s="77" t="s">
        <v>451</v>
      </c>
      <c r="L94" s="77" t="s">
        <v>534</v>
      </c>
      <c r="M94" s="62" t="str">
        <f t="shared" si="1"/>
        <v>View on Google Map</v>
      </c>
    </row>
    <row r="95" spans="1:13">
      <c r="A95" s="77">
        <v>213</v>
      </c>
      <c r="B95" s="77" t="s">
        <v>597</v>
      </c>
      <c r="C95" s="77" t="s">
        <v>451</v>
      </c>
      <c r="D95" s="77">
        <v>70.033333333333331</v>
      </c>
      <c r="E95" s="77">
        <v>-147.65</v>
      </c>
      <c r="F95" s="77">
        <v>28.04878048780488</v>
      </c>
      <c r="G95" s="77" t="s">
        <v>460</v>
      </c>
      <c r="H95" s="77" t="s">
        <v>598</v>
      </c>
      <c r="I95" s="77" t="s">
        <v>451</v>
      </c>
      <c r="J95" s="77" t="s">
        <v>469</v>
      </c>
      <c r="K95" s="77" t="s">
        <v>451</v>
      </c>
      <c r="L95" s="77" t="s">
        <v>532</v>
      </c>
      <c r="M95" s="62" t="str">
        <f t="shared" si="1"/>
        <v>View on Google Map</v>
      </c>
    </row>
    <row r="96" spans="1:13">
      <c r="A96" s="77">
        <v>299</v>
      </c>
      <c r="B96" s="77" t="s">
        <v>597</v>
      </c>
      <c r="C96" s="77" t="s">
        <v>451</v>
      </c>
      <c r="D96" s="77">
        <v>69.5458</v>
      </c>
      <c r="E96" s="77">
        <v>-150.37883333333335</v>
      </c>
      <c r="F96" s="77">
        <v>107</v>
      </c>
      <c r="G96" s="77" t="s">
        <v>460</v>
      </c>
      <c r="H96" s="77" t="s">
        <v>599</v>
      </c>
      <c r="I96" s="77" t="s">
        <v>451</v>
      </c>
      <c r="J96" s="77" t="s">
        <v>469</v>
      </c>
      <c r="K96" s="77" t="s">
        <v>451</v>
      </c>
      <c r="L96" s="77" t="s">
        <v>534</v>
      </c>
      <c r="M96" s="62" t="str">
        <f t="shared" si="1"/>
        <v>View on Google Map</v>
      </c>
    </row>
    <row r="97" spans="1:13">
      <c r="A97" s="77">
        <v>214</v>
      </c>
      <c r="B97" s="77" t="s">
        <v>600</v>
      </c>
      <c r="C97" s="77" t="s">
        <v>451</v>
      </c>
      <c r="D97" s="77">
        <v>69.833333333333329</v>
      </c>
      <c r="E97" s="77">
        <v>-147.93333333333334</v>
      </c>
      <c r="F97" s="77">
        <v>92.987804878048792</v>
      </c>
      <c r="G97" s="77" t="s">
        <v>460</v>
      </c>
      <c r="H97" s="77" t="s">
        <v>601</v>
      </c>
      <c r="I97" s="77" t="s">
        <v>451</v>
      </c>
      <c r="J97" s="77" t="s">
        <v>469</v>
      </c>
      <c r="K97" s="77" t="s">
        <v>451</v>
      </c>
      <c r="L97" s="77" t="s">
        <v>532</v>
      </c>
      <c r="M97" s="62" t="str">
        <f t="shared" si="1"/>
        <v>View on Google Map</v>
      </c>
    </row>
    <row r="98" spans="1:13">
      <c r="A98" s="77">
        <v>300</v>
      </c>
      <c r="B98" s="77" t="s">
        <v>600</v>
      </c>
      <c r="C98" s="77" t="s">
        <v>451</v>
      </c>
      <c r="D98" s="77">
        <v>69.5458</v>
      </c>
      <c r="E98" s="77">
        <v>-150.37883333333335</v>
      </c>
      <c r="F98" s="77">
        <v>107</v>
      </c>
      <c r="G98" s="77" t="s">
        <v>460</v>
      </c>
      <c r="H98" s="77" t="s">
        <v>602</v>
      </c>
      <c r="I98" s="77" t="s">
        <v>451</v>
      </c>
      <c r="J98" s="77" t="s">
        <v>469</v>
      </c>
      <c r="K98" s="77" t="s">
        <v>451</v>
      </c>
      <c r="L98" s="77" t="s">
        <v>534</v>
      </c>
      <c r="M98" s="62" t="str">
        <f t="shared" si="1"/>
        <v>View on Google Map</v>
      </c>
    </row>
    <row r="99" spans="1:13">
      <c r="A99" s="77">
        <v>215</v>
      </c>
      <c r="B99" s="77" t="s">
        <v>603</v>
      </c>
      <c r="C99" s="77" t="s">
        <v>451</v>
      </c>
      <c r="D99" s="77">
        <v>69.833333333333329</v>
      </c>
      <c r="E99" s="77">
        <v>-147.93333333333334</v>
      </c>
      <c r="F99" s="77">
        <v>92.987804878048792</v>
      </c>
      <c r="G99" s="77" t="s">
        <v>460</v>
      </c>
      <c r="H99" s="77" t="s">
        <v>604</v>
      </c>
      <c r="I99" s="77" t="s">
        <v>451</v>
      </c>
      <c r="J99" s="77" t="s">
        <v>469</v>
      </c>
      <c r="K99" s="77" t="s">
        <v>451</v>
      </c>
      <c r="L99" s="77" t="s">
        <v>532</v>
      </c>
      <c r="M99" s="62" t="str">
        <f t="shared" si="1"/>
        <v>View on Google Map</v>
      </c>
    </row>
    <row r="100" spans="1:13">
      <c r="A100" s="77">
        <v>301</v>
      </c>
      <c r="B100" s="77" t="s">
        <v>603</v>
      </c>
      <c r="C100" s="77" t="s">
        <v>451</v>
      </c>
      <c r="D100" s="77">
        <v>69.523700000000005</v>
      </c>
      <c r="E100" s="77">
        <v>-150.55269999999999</v>
      </c>
      <c r="F100" s="77">
        <v>107</v>
      </c>
      <c r="G100" s="77" t="s">
        <v>460</v>
      </c>
      <c r="H100" s="77" t="s">
        <v>605</v>
      </c>
      <c r="I100" s="77" t="s">
        <v>451</v>
      </c>
      <c r="J100" s="77" t="s">
        <v>469</v>
      </c>
      <c r="K100" s="77" t="s">
        <v>451</v>
      </c>
      <c r="L100" s="77" t="s">
        <v>534</v>
      </c>
      <c r="M100" s="62" t="str">
        <f t="shared" si="1"/>
        <v>View on Google Map</v>
      </c>
    </row>
    <row r="101" spans="1:13">
      <c r="A101" s="77">
        <v>216</v>
      </c>
      <c r="B101" s="77" t="s">
        <v>606</v>
      </c>
      <c r="C101" s="77" t="s">
        <v>451</v>
      </c>
      <c r="D101" s="77">
        <v>69.88333333333334</v>
      </c>
      <c r="E101" s="77">
        <v>-148.63333333333333</v>
      </c>
      <c r="F101" s="77">
        <v>118.90243902439025</v>
      </c>
      <c r="G101" s="77" t="s">
        <v>460</v>
      </c>
      <c r="H101" s="77" t="s">
        <v>607</v>
      </c>
      <c r="I101" s="77" t="s">
        <v>451</v>
      </c>
      <c r="J101" s="77" t="s">
        <v>469</v>
      </c>
      <c r="K101" s="77" t="s">
        <v>451</v>
      </c>
      <c r="L101" s="77" t="s">
        <v>532</v>
      </c>
      <c r="M101" s="62" t="str">
        <f t="shared" si="1"/>
        <v>View on Google Map</v>
      </c>
    </row>
    <row r="102" spans="1:13">
      <c r="A102" s="77">
        <v>302</v>
      </c>
      <c r="B102" s="77" t="s">
        <v>606</v>
      </c>
      <c r="C102" s="77" t="s">
        <v>451</v>
      </c>
      <c r="D102" s="77">
        <v>69.523700000000005</v>
      </c>
      <c r="E102" s="77">
        <v>-150.55269999999999</v>
      </c>
      <c r="F102" s="77">
        <v>107</v>
      </c>
      <c r="G102" s="77" t="s">
        <v>460</v>
      </c>
      <c r="H102" s="77" t="s">
        <v>608</v>
      </c>
      <c r="I102" s="77" t="s">
        <v>451</v>
      </c>
      <c r="J102" s="77" t="s">
        <v>469</v>
      </c>
      <c r="K102" s="77" t="s">
        <v>451</v>
      </c>
      <c r="L102" s="77" t="s">
        <v>534</v>
      </c>
      <c r="M102" s="62" t="str">
        <f t="shared" si="1"/>
        <v>View on Google Map</v>
      </c>
    </row>
    <row r="103" spans="1:13">
      <c r="A103" s="77">
        <v>217</v>
      </c>
      <c r="B103" s="77" t="s">
        <v>609</v>
      </c>
      <c r="C103" s="77" t="s">
        <v>451</v>
      </c>
      <c r="D103" s="77">
        <v>69.7</v>
      </c>
      <c r="E103" s="77">
        <v>-148.48333333333332</v>
      </c>
      <c r="F103" s="77">
        <v>125</v>
      </c>
      <c r="G103" s="77" t="s">
        <v>460</v>
      </c>
      <c r="H103" s="77" t="s">
        <v>610</v>
      </c>
      <c r="I103" s="77" t="s">
        <v>451</v>
      </c>
      <c r="J103" s="77" t="s">
        <v>469</v>
      </c>
      <c r="K103" s="77" t="s">
        <v>451</v>
      </c>
      <c r="L103" s="77" t="s">
        <v>532</v>
      </c>
      <c r="M103" s="62" t="str">
        <f t="shared" si="1"/>
        <v>View on Google Map</v>
      </c>
    </row>
    <row r="104" spans="1:13">
      <c r="A104" s="77">
        <v>303</v>
      </c>
      <c r="B104" s="77" t="s">
        <v>609</v>
      </c>
      <c r="C104" s="77" t="s">
        <v>451</v>
      </c>
      <c r="D104" s="77">
        <v>69.610399999999998</v>
      </c>
      <c r="E104" s="77">
        <v>-148.82113333333334</v>
      </c>
      <c r="F104" s="77">
        <v>107</v>
      </c>
      <c r="G104" s="77" t="s">
        <v>460</v>
      </c>
      <c r="H104" s="77" t="s">
        <v>611</v>
      </c>
      <c r="I104" s="77" t="s">
        <v>451</v>
      </c>
      <c r="J104" s="77" t="s">
        <v>469</v>
      </c>
      <c r="K104" s="77" t="s">
        <v>451</v>
      </c>
      <c r="L104" s="77" t="s">
        <v>534</v>
      </c>
      <c r="M104" s="62" t="str">
        <f t="shared" si="1"/>
        <v>View on Google Map</v>
      </c>
    </row>
    <row r="105" spans="1:13">
      <c r="A105" s="77">
        <v>218</v>
      </c>
      <c r="B105" s="77" t="s">
        <v>612</v>
      </c>
      <c r="C105" s="77" t="s">
        <v>451</v>
      </c>
      <c r="D105" s="77">
        <v>69.7</v>
      </c>
      <c r="E105" s="77">
        <v>-148.48333333333332</v>
      </c>
      <c r="F105" s="77">
        <v>125</v>
      </c>
      <c r="G105" s="77" t="s">
        <v>460</v>
      </c>
      <c r="H105" s="77" t="s">
        <v>613</v>
      </c>
      <c r="I105" s="77" t="s">
        <v>451</v>
      </c>
      <c r="J105" s="77" t="s">
        <v>469</v>
      </c>
      <c r="K105" s="77" t="s">
        <v>451</v>
      </c>
      <c r="L105" s="77" t="s">
        <v>532</v>
      </c>
      <c r="M105" s="62" t="str">
        <f t="shared" si="1"/>
        <v>View on Google Map</v>
      </c>
    </row>
    <row r="106" spans="1:13">
      <c r="A106" s="77">
        <v>304</v>
      </c>
      <c r="B106" s="77" t="s">
        <v>612</v>
      </c>
      <c r="C106" s="77" t="s">
        <v>451</v>
      </c>
      <c r="D106" s="77">
        <v>69.610399999999998</v>
      </c>
      <c r="E106" s="77">
        <v>-148.82113333333334</v>
      </c>
      <c r="F106" s="77">
        <v>107</v>
      </c>
      <c r="G106" s="77" t="s">
        <v>460</v>
      </c>
      <c r="H106" s="77" t="s">
        <v>614</v>
      </c>
      <c r="I106" s="77" t="s">
        <v>451</v>
      </c>
      <c r="J106" s="77" t="s">
        <v>469</v>
      </c>
      <c r="K106" s="77" t="s">
        <v>451</v>
      </c>
      <c r="L106" s="77" t="s">
        <v>534</v>
      </c>
      <c r="M106" s="62" t="str">
        <f t="shared" si="1"/>
        <v>View on Google Map</v>
      </c>
    </row>
    <row r="107" spans="1:13">
      <c r="A107" s="77">
        <v>232</v>
      </c>
      <c r="B107" s="77" t="s">
        <v>615</v>
      </c>
      <c r="C107" s="77" t="s">
        <v>451</v>
      </c>
      <c r="D107" s="77">
        <v>69.266666666666666</v>
      </c>
      <c r="E107" s="77">
        <v>-148.46666666666667</v>
      </c>
      <c r="F107" s="77">
        <v>338.71951219512198</v>
      </c>
      <c r="G107" s="77" t="s">
        <v>460</v>
      </c>
      <c r="H107" s="77" t="s">
        <v>616</v>
      </c>
      <c r="I107" s="77" t="s">
        <v>451</v>
      </c>
      <c r="J107" s="77" t="s">
        <v>469</v>
      </c>
      <c r="K107" s="77" t="s">
        <v>451</v>
      </c>
      <c r="L107" s="77" t="s">
        <v>532</v>
      </c>
      <c r="M107" s="62" t="str">
        <f t="shared" si="1"/>
        <v>View on Google Map</v>
      </c>
    </row>
    <row r="108" spans="1:13">
      <c r="A108" s="77">
        <v>239</v>
      </c>
      <c r="B108" s="77" t="s">
        <v>617</v>
      </c>
      <c r="C108" s="77" t="s">
        <v>618</v>
      </c>
      <c r="D108" s="77" t="s">
        <v>451</v>
      </c>
      <c r="E108" s="77" t="s">
        <v>451</v>
      </c>
      <c r="F108" s="77" t="s">
        <v>451</v>
      </c>
      <c r="G108" s="77" t="s">
        <v>460</v>
      </c>
      <c r="H108" s="77" t="s">
        <v>451</v>
      </c>
      <c r="I108" s="77" t="s">
        <v>451</v>
      </c>
      <c r="J108" s="77" t="s">
        <v>469</v>
      </c>
      <c r="K108" s="77" t="s">
        <v>451</v>
      </c>
      <c r="L108" s="77" t="s">
        <v>619</v>
      </c>
      <c r="M108" s="62" t="str">
        <f t="shared" si="1"/>
        <v>View on Google Map</v>
      </c>
    </row>
    <row r="109" spans="1:13">
      <c r="A109" s="77">
        <v>144</v>
      </c>
      <c r="B109" s="77" t="s">
        <v>620</v>
      </c>
      <c r="C109" s="77" t="s">
        <v>621</v>
      </c>
      <c r="D109" s="77">
        <v>68.63333333333334</v>
      </c>
      <c r="E109" s="77">
        <v>-149.6</v>
      </c>
      <c r="F109" s="77">
        <v>719</v>
      </c>
      <c r="G109" s="77" t="s">
        <v>460</v>
      </c>
      <c r="H109" s="77" t="s">
        <v>451</v>
      </c>
      <c r="I109" s="77" t="s">
        <v>451</v>
      </c>
      <c r="J109" s="77" t="s">
        <v>469</v>
      </c>
      <c r="K109" s="77" t="s">
        <v>451</v>
      </c>
      <c r="L109" s="77" t="s">
        <v>470</v>
      </c>
      <c r="M109" s="62" t="str">
        <f t="shared" si="1"/>
        <v>View on Google Map</v>
      </c>
    </row>
    <row r="110" spans="1:13">
      <c r="A110" s="77">
        <v>401</v>
      </c>
      <c r="B110" s="77" t="s">
        <v>622</v>
      </c>
      <c r="C110" s="77" t="s">
        <v>451</v>
      </c>
      <c r="D110" s="77" t="s">
        <v>451</v>
      </c>
      <c r="E110" s="77" t="s">
        <v>451</v>
      </c>
      <c r="F110" s="77" t="s">
        <v>451</v>
      </c>
      <c r="G110" s="77" t="s">
        <v>460</v>
      </c>
      <c r="H110" s="77" t="s">
        <v>451</v>
      </c>
      <c r="I110" s="77" t="s">
        <v>451</v>
      </c>
      <c r="J110" s="77" t="s">
        <v>469</v>
      </c>
      <c r="K110" s="77" t="s">
        <v>451</v>
      </c>
      <c r="L110" s="77" t="s">
        <v>623</v>
      </c>
      <c r="M110" s="62" t="str">
        <f t="shared" si="1"/>
        <v>View on Google Map</v>
      </c>
    </row>
    <row r="111" spans="1:13">
      <c r="A111" s="77">
        <v>403</v>
      </c>
      <c r="B111" s="77" t="s">
        <v>624</v>
      </c>
      <c r="C111" s="77" t="s">
        <v>451</v>
      </c>
      <c r="D111" s="77" t="s">
        <v>451</v>
      </c>
      <c r="E111" s="77" t="s">
        <v>451</v>
      </c>
      <c r="F111" s="77" t="s">
        <v>451</v>
      </c>
      <c r="G111" s="77" t="s">
        <v>460</v>
      </c>
      <c r="H111" s="77" t="s">
        <v>451</v>
      </c>
      <c r="I111" s="77" t="s">
        <v>451</v>
      </c>
      <c r="J111" s="77" t="s">
        <v>469</v>
      </c>
      <c r="K111" s="77" t="s">
        <v>451</v>
      </c>
      <c r="L111" s="77" t="s">
        <v>625</v>
      </c>
      <c r="M111" s="62" t="str">
        <f t="shared" si="1"/>
        <v>View on Google Map</v>
      </c>
    </row>
    <row r="112" spans="1:13">
      <c r="A112" s="77">
        <v>403</v>
      </c>
      <c r="B112" s="77" t="s">
        <v>624</v>
      </c>
      <c r="C112" s="77" t="s">
        <v>451</v>
      </c>
      <c r="D112" s="77" t="s">
        <v>451</v>
      </c>
      <c r="E112" s="77" t="s">
        <v>451</v>
      </c>
      <c r="F112" s="77" t="s">
        <v>451</v>
      </c>
      <c r="G112" s="77" t="s">
        <v>460</v>
      </c>
      <c r="H112" s="77" t="s">
        <v>451</v>
      </c>
      <c r="I112" s="77" t="s">
        <v>451</v>
      </c>
      <c r="J112" s="77" t="s">
        <v>469</v>
      </c>
      <c r="K112" s="77" t="s">
        <v>451</v>
      </c>
      <c r="L112" s="77" t="s">
        <v>625</v>
      </c>
      <c r="M112" s="62" t="str">
        <f t="shared" si="1"/>
        <v>View on Google Map</v>
      </c>
    </row>
    <row r="113" spans="1:13">
      <c r="A113" s="77">
        <v>1209</v>
      </c>
      <c r="B113" s="77" t="s">
        <v>626</v>
      </c>
      <c r="C113" s="77" t="s">
        <v>627</v>
      </c>
      <c r="D113" s="77">
        <v>68.934420000000003</v>
      </c>
      <c r="E113" s="77">
        <v>-150.21242000000001</v>
      </c>
      <c r="F113" s="77" t="s">
        <v>451</v>
      </c>
      <c r="G113" s="77" t="s">
        <v>452</v>
      </c>
      <c r="H113" s="77" t="s">
        <v>451</v>
      </c>
      <c r="I113" s="77" t="s">
        <v>451</v>
      </c>
      <c r="J113" s="77" t="s">
        <v>456</v>
      </c>
      <c r="K113" s="77" t="s">
        <v>451</v>
      </c>
      <c r="L113" s="77" t="s">
        <v>457</v>
      </c>
      <c r="M113" s="62" t="str">
        <f t="shared" si="1"/>
        <v>View on Google Map</v>
      </c>
    </row>
    <row r="114" spans="1:13">
      <c r="A114" s="77">
        <v>482</v>
      </c>
      <c r="B114" s="77" t="s">
        <v>628</v>
      </c>
      <c r="C114" s="77" t="s">
        <v>451</v>
      </c>
      <c r="D114" s="77">
        <v>68.951483332999999</v>
      </c>
      <c r="E114" s="77">
        <v>-150.194333333</v>
      </c>
      <c r="F114" s="77">
        <v>399</v>
      </c>
      <c r="G114" s="77" t="s">
        <v>460</v>
      </c>
      <c r="H114" s="77" t="s">
        <v>451</v>
      </c>
      <c r="I114" s="77" t="s">
        <v>451</v>
      </c>
      <c r="J114" s="77" t="s">
        <v>504</v>
      </c>
      <c r="K114" s="77" t="s">
        <v>451</v>
      </c>
      <c r="L114" s="77" t="s">
        <v>457</v>
      </c>
      <c r="M114" s="62" t="str">
        <f t="shared" si="1"/>
        <v>View on Google Map</v>
      </c>
    </row>
    <row r="115" spans="1:13">
      <c r="A115" s="77">
        <v>483</v>
      </c>
      <c r="B115" s="77" t="s">
        <v>629</v>
      </c>
      <c r="C115" s="77" t="s">
        <v>451</v>
      </c>
      <c r="D115" s="77">
        <v>68.950783333000004</v>
      </c>
      <c r="E115" s="77">
        <v>-150.19835</v>
      </c>
      <c r="F115" s="77">
        <v>399</v>
      </c>
      <c r="G115" s="77" t="s">
        <v>468</v>
      </c>
      <c r="H115" s="77" t="s">
        <v>630</v>
      </c>
      <c r="I115" s="77" t="s">
        <v>451</v>
      </c>
      <c r="J115" s="77" t="s">
        <v>504</v>
      </c>
      <c r="K115" s="77" t="s">
        <v>451</v>
      </c>
      <c r="L115" s="77" t="s">
        <v>457</v>
      </c>
      <c r="M115" s="62" t="str">
        <f t="shared" si="1"/>
        <v>View on Google Map</v>
      </c>
    </row>
    <row r="116" spans="1:13">
      <c r="A116" s="77">
        <v>484</v>
      </c>
      <c r="B116" s="77" t="s">
        <v>631</v>
      </c>
      <c r="C116" s="77" t="s">
        <v>451</v>
      </c>
      <c r="D116" s="77">
        <v>68.957549999999998</v>
      </c>
      <c r="E116" s="77">
        <v>-150.200916667</v>
      </c>
      <c r="F116" s="77">
        <v>399</v>
      </c>
      <c r="G116" s="77" t="s">
        <v>460</v>
      </c>
      <c r="H116" s="77" t="s">
        <v>632</v>
      </c>
      <c r="I116" s="77" t="s">
        <v>633</v>
      </c>
      <c r="J116" s="77" t="s">
        <v>504</v>
      </c>
      <c r="K116" s="77" t="s">
        <v>451</v>
      </c>
      <c r="L116" s="77" t="s">
        <v>457</v>
      </c>
      <c r="M116" s="62" t="str">
        <f t="shared" si="1"/>
        <v>View on Google Map</v>
      </c>
    </row>
    <row r="117" spans="1:13">
      <c r="A117" s="77">
        <v>485</v>
      </c>
      <c r="B117" s="77" t="s">
        <v>634</v>
      </c>
      <c r="C117" s="77" t="s">
        <v>451</v>
      </c>
      <c r="D117" s="77">
        <v>68.95675</v>
      </c>
      <c r="E117" s="77">
        <v>-150.19700833300001</v>
      </c>
      <c r="F117" s="77">
        <v>399</v>
      </c>
      <c r="G117" s="77" t="s">
        <v>460</v>
      </c>
      <c r="H117" s="77" t="s">
        <v>635</v>
      </c>
      <c r="I117" s="77" t="s">
        <v>451</v>
      </c>
      <c r="J117" s="77" t="s">
        <v>504</v>
      </c>
      <c r="K117" s="77" t="s">
        <v>451</v>
      </c>
      <c r="L117" s="77" t="s">
        <v>457</v>
      </c>
      <c r="M117" s="62" t="str">
        <f t="shared" si="1"/>
        <v>View on Google Map</v>
      </c>
    </row>
    <row r="118" spans="1:13">
      <c r="A118" s="77">
        <v>514</v>
      </c>
      <c r="B118" s="77" t="s">
        <v>636</v>
      </c>
      <c r="C118" s="77" t="s">
        <v>459</v>
      </c>
      <c r="D118" s="77">
        <v>68.418130000000005</v>
      </c>
      <c r="E118" s="77">
        <v>-151.58454</v>
      </c>
      <c r="F118" s="77">
        <v>876</v>
      </c>
      <c r="G118" s="77" t="s">
        <v>460</v>
      </c>
      <c r="H118" s="77" t="s">
        <v>451</v>
      </c>
      <c r="I118" s="77" t="s">
        <v>451</v>
      </c>
      <c r="J118" s="77" t="s">
        <v>461</v>
      </c>
      <c r="K118" s="77" t="s">
        <v>451</v>
      </c>
      <c r="L118" s="77" t="s">
        <v>462</v>
      </c>
      <c r="M118" s="62" t="str">
        <f t="shared" si="1"/>
        <v>View on Google Map</v>
      </c>
    </row>
    <row r="119" spans="1:13">
      <c r="A119" s="77">
        <v>400</v>
      </c>
      <c r="B119" s="77" t="s">
        <v>637</v>
      </c>
      <c r="C119" s="77" t="s">
        <v>451</v>
      </c>
      <c r="D119" s="77" t="s">
        <v>451</v>
      </c>
      <c r="E119" s="77" t="s">
        <v>451</v>
      </c>
      <c r="F119" s="77" t="s">
        <v>451</v>
      </c>
      <c r="G119" s="77" t="s">
        <v>460</v>
      </c>
      <c r="H119" s="77" t="s">
        <v>451</v>
      </c>
      <c r="I119" s="77" t="s">
        <v>451</v>
      </c>
      <c r="J119" s="77" t="s">
        <v>469</v>
      </c>
      <c r="K119" s="77" t="s">
        <v>451</v>
      </c>
      <c r="L119" s="77" t="s">
        <v>623</v>
      </c>
      <c r="M119" s="62" t="str">
        <f t="shared" si="1"/>
        <v>View on Google Map</v>
      </c>
    </row>
    <row r="120" spans="1:13">
      <c r="A120" s="77">
        <v>137</v>
      </c>
      <c r="B120" s="77" t="s">
        <v>638</v>
      </c>
      <c r="C120" s="77" t="s">
        <v>451</v>
      </c>
      <c r="D120" s="77">
        <v>70.3</v>
      </c>
      <c r="E120" s="77">
        <v>-148.28333333333333</v>
      </c>
      <c r="F120" s="77">
        <v>6</v>
      </c>
      <c r="G120" s="77" t="s">
        <v>460</v>
      </c>
      <c r="H120" s="77" t="s">
        <v>639</v>
      </c>
      <c r="I120" s="77" t="s">
        <v>451</v>
      </c>
      <c r="J120" s="77" t="s">
        <v>469</v>
      </c>
      <c r="K120" s="77" t="s">
        <v>451</v>
      </c>
      <c r="L120" s="77" t="s">
        <v>470</v>
      </c>
      <c r="M120" s="62" t="str">
        <f t="shared" si="1"/>
        <v>View on Google Map</v>
      </c>
    </row>
    <row r="121" spans="1:13">
      <c r="A121" s="77">
        <v>146</v>
      </c>
      <c r="B121" s="77" t="s">
        <v>640</v>
      </c>
      <c r="C121" s="77" t="s">
        <v>451</v>
      </c>
      <c r="D121" s="77">
        <v>68.626195602799996</v>
      </c>
      <c r="E121" s="77">
        <v>-149.55534770599999</v>
      </c>
      <c r="F121" s="77">
        <v>762</v>
      </c>
      <c r="G121" s="77" t="s">
        <v>460</v>
      </c>
      <c r="H121" s="77" t="s">
        <v>641</v>
      </c>
      <c r="I121" s="77" t="s">
        <v>642</v>
      </c>
      <c r="J121" s="77" t="s">
        <v>469</v>
      </c>
      <c r="K121" s="77" t="s">
        <v>451</v>
      </c>
      <c r="L121" s="77" t="s">
        <v>451</v>
      </c>
      <c r="M121" s="62" t="str">
        <f t="shared" si="1"/>
        <v>View on Google Map</v>
      </c>
    </row>
    <row r="122" spans="1:13">
      <c r="A122" s="77">
        <v>18</v>
      </c>
      <c r="B122" s="77" t="s">
        <v>643</v>
      </c>
      <c r="C122" s="77" t="s">
        <v>451</v>
      </c>
      <c r="D122" s="77" t="s">
        <v>451</v>
      </c>
      <c r="E122" s="77" t="s">
        <v>451</v>
      </c>
      <c r="F122" s="77">
        <v>762</v>
      </c>
      <c r="G122" s="77" t="s">
        <v>468</v>
      </c>
      <c r="H122" s="77" t="s">
        <v>644</v>
      </c>
      <c r="I122" s="77" t="s">
        <v>645</v>
      </c>
      <c r="J122" s="77" t="s">
        <v>469</v>
      </c>
      <c r="K122" s="77" t="s">
        <v>451</v>
      </c>
      <c r="L122" s="77" t="s">
        <v>451</v>
      </c>
      <c r="M122" s="62" t="str">
        <f t="shared" si="1"/>
        <v>View on Google Map</v>
      </c>
    </row>
    <row r="123" spans="1:13">
      <c r="A123" s="77">
        <v>310</v>
      </c>
      <c r="B123" s="77" t="s">
        <v>646</v>
      </c>
      <c r="C123" s="77" t="s">
        <v>451</v>
      </c>
      <c r="D123" s="77">
        <v>68.622894947099994</v>
      </c>
      <c r="E123" s="77">
        <v>-149.54328383999999</v>
      </c>
      <c r="F123" s="77" t="s">
        <v>451</v>
      </c>
      <c r="G123" s="77" t="s">
        <v>460</v>
      </c>
      <c r="H123" s="77" t="s">
        <v>647</v>
      </c>
      <c r="I123" s="77" t="s">
        <v>648</v>
      </c>
      <c r="J123" s="77" t="s">
        <v>469</v>
      </c>
      <c r="K123" s="77" t="s">
        <v>451</v>
      </c>
      <c r="L123" s="77" t="s">
        <v>451</v>
      </c>
      <c r="M123" s="62" t="str">
        <f t="shared" si="1"/>
        <v>View on Google Map</v>
      </c>
    </row>
    <row r="124" spans="1:13">
      <c r="A124" s="77">
        <v>311</v>
      </c>
      <c r="B124" s="77" t="s">
        <v>649</v>
      </c>
      <c r="C124" s="77" t="s">
        <v>451</v>
      </c>
      <c r="D124" s="77">
        <v>68.623910828999996</v>
      </c>
      <c r="E124" s="77">
        <v>-149.53118563999999</v>
      </c>
      <c r="F124" s="77" t="s">
        <v>451</v>
      </c>
      <c r="G124" s="77" t="s">
        <v>460</v>
      </c>
      <c r="H124" s="77" t="s">
        <v>650</v>
      </c>
      <c r="I124" s="77" t="s">
        <v>651</v>
      </c>
      <c r="J124" s="77" t="s">
        <v>469</v>
      </c>
      <c r="K124" s="77" t="s">
        <v>451</v>
      </c>
      <c r="L124" s="77" t="s">
        <v>451</v>
      </c>
      <c r="M124" s="62" t="str">
        <f t="shared" si="1"/>
        <v>View on Google Map</v>
      </c>
    </row>
    <row r="125" spans="1:13">
      <c r="A125" s="77">
        <v>312</v>
      </c>
      <c r="B125" s="77" t="s">
        <v>652</v>
      </c>
      <c r="C125" s="77" t="s">
        <v>451</v>
      </c>
      <c r="D125" s="77">
        <v>68.6277698106</v>
      </c>
      <c r="E125" s="77">
        <v>-149.497737003</v>
      </c>
      <c r="F125" s="77" t="s">
        <v>451</v>
      </c>
      <c r="G125" s="77" t="s">
        <v>460</v>
      </c>
      <c r="H125" s="77" t="s">
        <v>653</v>
      </c>
      <c r="I125" s="77" t="s">
        <v>654</v>
      </c>
      <c r="J125" s="77" t="s">
        <v>469</v>
      </c>
      <c r="K125" s="77" t="s">
        <v>451</v>
      </c>
      <c r="L125" s="77" t="s">
        <v>451</v>
      </c>
      <c r="M125" s="62" t="str">
        <f t="shared" si="1"/>
        <v>View on Google Map</v>
      </c>
    </row>
    <row r="126" spans="1:13">
      <c r="A126" s="77">
        <v>145</v>
      </c>
      <c r="B126" s="77" t="s">
        <v>655</v>
      </c>
      <c r="C126" s="77" t="s">
        <v>451</v>
      </c>
      <c r="D126" s="77">
        <v>68.642611000000002</v>
      </c>
      <c r="E126" s="77">
        <v>-149.458079</v>
      </c>
      <c r="F126" s="77">
        <v>800</v>
      </c>
      <c r="G126" s="77" t="s">
        <v>460</v>
      </c>
      <c r="H126" s="77" t="s">
        <v>656</v>
      </c>
      <c r="I126" s="77" t="s">
        <v>657</v>
      </c>
      <c r="J126" s="77" t="s">
        <v>469</v>
      </c>
      <c r="K126" s="77" t="s">
        <v>451</v>
      </c>
      <c r="L126" s="77" t="s">
        <v>451</v>
      </c>
      <c r="M126" s="62" t="str">
        <f t="shared" si="1"/>
        <v>View on Google Map</v>
      </c>
    </row>
    <row r="127" spans="1:13">
      <c r="A127" s="77">
        <v>399</v>
      </c>
      <c r="B127" s="77" t="s">
        <v>658</v>
      </c>
      <c r="C127" s="77" t="s">
        <v>451</v>
      </c>
      <c r="D127" s="77">
        <v>68.643427058300006</v>
      </c>
      <c r="E127" s="77">
        <v>-149.44056459199999</v>
      </c>
      <c r="F127" s="77">
        <v>792</v>
      </c>
      <c r="G127" s="77" t="s">
        <v>460</v>
      </c>
      <c r="H127" s="77" t="s">
        <v>659</v>
      </c>
      <c r="I127" s="77" t="s">
        <v>660</v>
      </c>
      <c r="J127" s="77" t="s">
        <v>469</v>
      </c>
      <c r="K127" s="77" t="s">
        <v>451</v>
      </c>
      <c r="L127" s="77" t="s">
        <v>451</v>
      </c>
      <c r="M127" s="62" t="str">
        <f t="shared" si="1"/>
        <v>View on Google Map</v>
      </c>
    </row>
    <row r="128" spans="1:13">
      <c r="A128" s="77">
        <v>1605</v>
      </c>
      <c r="B128" s="77" t="s">
        <v>661</v>
      </c>
      <c r="C128" s="77" t="s">
        <v>451</v>
      </c>
      <c r="D128" s="77" t="s">
        <v>451</v>
      </c>
      <c r="E128" s="77" t="s">
        <v>451</v>
      </c>
      <c r="F128" s="77" t="s">
        <v>451</v>
      </c>
      <c r="G128" s="77" t="s">
        <v>468</v>
      </c>
      <c r="H128" s="77" t="s">
        <v>662</v>
      </c>
      <c r="I128" s="77" t="s">
        <v>663</v>
      </c>
      <c r="J128" s="77" t="s">
        <v>469</v>
      </c>
      <c r="K128" s="77" t="s">
        <v>451</v>
      </c>
      <c r="L128" s="77" t="s">
        <v>451</v>
      </c>
      <c r="M128" s="62" t="str">
        <f t="shared" si="1"/>
        <v>View on Google Map</v>
      </c>
    </row>
    <row r="129" spans="1:13">
      <c r="A129" s="77">
        <v>1606</v>
      </c>
      <c r="B129" s="77" t="s">
        <v>664</v>
      </c>
      <c r="C129" s="77" t="s">
        <v>451</v>
      </c>
      <c r="D129" s="77" t="s">
        <v>451</v>
      </c>
      <c r="E129" s="77" t="s">
        <v>451</v>
      </c>
      <c r="F129" s="77" t="s">
        <v>451</v>
      </c>
      <c r="G129" s="77" t="s">
        <v>468</v>
      </c>
      <c r="H129" s="77" t="s">
        <v>665</v>
      </c>
      <c r="I129" s="77" t="s">
        <v>666</v>
      </c>
      <c r="J129" s="77" t="s">
        <v>469</v>
      </c>
      <c r="K129" s="77" t="s">
        <v>451</v>
      </c>
      <c r="L129" s="77" t="s">
        <v>451</v>
      </c>
      <c r="M129" s="62" t="str">
        <f t="shared" si="1"/>
        <v>View on Google Map</v>
      </c>
    </row>
    <row r="130" spans="1:13">
      <c r="A130" s="77">
        <v>1604</v>
      </c>
      <c r="B130" s="77" t="s">
        <v>667</v>
      </c>
      <c r="C130" s="77" t="s">
        <v>451</v>
      </c>
      <c r="D130" s="77" t="s">
        <v>451</v>
      </c>
      <c r="E130" s="77" t="s">
        <v>451</v>
      </c>
      <c r="F130" s="77" t="s">
        <v>451</v>
      </c>
      <c r="G130" s="77" t="s">
        <v>468</v>
      </c>
      <c r="H130" s="77" t="s">
        <v>668</v>
      </c>
      <c r="I130" s="77" t="s">
        <v>669</v>
      </c>
      <c r="J130" s="77" t="s">
        <v>469</v>
      </c>
      <c r="K130" s="77" t="s">
        <v>451</v>
      </c>
      <c r="L130" s="77" t="s">
        <v>451</v>
      </c>
      <c r="M130" s="62" t="str">
        <f t="shared" si="1"/>
        <v>View on Google Map</v>
      </c>
    </row>
    <row r="131" spans="1:13">
      <c r="A131" s="77">
        <v>24</v>
      </c>
      <c r="B131" s="77" t="s">
        <v>670</v>
      </c>
      <c r="C131" s="77" t="s">
        <v>451</v>
      </c>
      <c r="D131" s="77" t="s">
        <v>451</v>
      </c>
      <c r="E131" s="77" t="s">
        <v>451</v>
      </c>
      <c r="F131" s="77" t="s">
        <v>451</v>
      </c>
      <c r="G131" s="77" t="s">
        <v>468</v>
      </c>
      <c r="H131" s="77" t="s">
        <v>451</v>
      </c>
      <c r="I131" s="77" t="s">
        <v>451</v>
      </c>
      <c r="J131" s="77" t="s">
        <v>469</v>
      </c>
      <c r="K131" s="77" t="s">
        <v>451</v>
      </c>
      <c r="L131" s="77" t="s">
        <v>451</v>
      </c>
      <c r="M131" s="62" t="str">
        <f t="shared" ref="M131:M194" si="2">HYPERLINK("http://maps.google.com/maps?q="&amp;D131&amp;","&amp;E131,"View on Google Map")</f>
        <v>View on Google Map</v>
      </c>
    </row>
    <row r="132" spans="1:13">
      <c r="A132" s="77">
        <v>143</v>
      </c>
      <c r="B132" s="77" t="s">
        <v>671</v>
      </c>
      <c r="C132" s="77" t="s">
        <v>672</v>
      </c>
      <c r="D132" s="77">
        <v>68.650000000000006</v>
      </c>
      <c r="E132" s="77">
        <v>-148.5</v>
      </c>
      <c r="F132" s="77">
        <v>525</v>
      </c>
      <c r="G132" s="77" t="s">
        <v>460</v>
      </c>
      <c r="H132" s="77" t="s">
        <v>451</v>
      </c>
      <c r="I132" s="77" t="s">
        <v>451</v>
      </c>
      <c r="J132" s="77" t="s">
        <v>469</v>
      </c>
      <c r="K132" s="77" t="s">
        <v>451</v>
      </c>
      <c r="L132" s="77" t="s">
        <v>470</v>
      </c>
      <c r="M132" s="62" t="str">
        <f t="shared" si="2"/>
        <v>View on Google Map</v>
      </c>
    </row>
    <row r="133" spans="1:13">
      <c r="A133" s="77">
        <v>464</v>
      </c>
      <c r="B133" s="77" t="s">
        <v>673</v>
      </c>
      <c r="C133" s="77" t="s">
        <v>451</v>
      </c>
      <c r="D133" s="77">
        <v>68.793719999999993</v>
      </c>
      <c r="E133" s="77">
        <v>-149.47560999999999</v>
      </c>
      <c r="F133" s="77">
        <v>702</v>
      </c>
      <c r="G133" s="77" t="s">
        <v>460</v>
      </c>
      <c r="H133" s="77" t="s">
        <v>451</v>
      </c>
      <c r="I133" s="77" t="s">
        <v>451</v>
      </c>
      <c r="J133" s="77" t="s">
        <v>461</v>
      </c>
      <c r="K133" s="77" t="s">
        <v>451</v>
      </c>
      <c r="L133" s="77" t="s">
        <v>451</v>
      </c>
      <c r="M133" s="62" t="str">
        <f t="shared" si="2"/>
        <v>View on Google Map</v>
      </c>
    </row>
    <row r="134" spans="1:13">
      <c r="A134" s="77">
        <v>465</v>
      </c>
      <c r="B134" s="77" t="s">
        <v>674</v>
      </c>
      <c r="C134" s="77" t="s">
        <v>451</v>
      </c>
      <c r="D134" s="77">
        <v>68.796220000000005</v>
      </c>
      <c r="E134" s="77">
        <v>-149.48222000000001</v>
      </c>
      <c r="F134" s="77">
        <v>698</v>
      </c>
      <c r="G134" s="77" t="s">
        <v>460</v>
      </c>
      <c r="H134" s="77" t="s">
        <v>451</v>
      </c>
      <c r="I134" s="77" t="s">
        <v>451</v>
      </c>
      <c r="J134" s="77" t="s">
        <v>461</v>
      </c>
      <c r="K134" s="77" t="s">
        <v>451</v>
      </c>
      <c r="L134" s="77" t="s">
        <v>451</v>
      </c>
      <c r="M134" s="62" t="str">
        <f t="shared" si="2"/>
        <v>View on Google Map</v>
      </c>
    </row>
    <row r="135" spans="1:13">
      <c r="A135" s="77">
        <v>466</v>
      </c>
      <c r="B135" s="77" t="s">
        <v>675</v>
      </c>
      <c r="C135" s="77" t="s">
        <v>451</v>
      </c>
      <c r="D135" s="77">
        <v>68.798249999999996</v>
      </c>
      <c r="E135" s="77">
        <v>-149.47832</v>
      </c>
      <c r="F135" s="77">
        <v>697</v>
      </c>
      <c r="G135" s="77" t="s">
        <v>460</v>
      </c>
      <c r="H135" s="77" t="s">
        <v>451</v>
      </c>
      <c r="I135" s="77" t="s">
        <v>451</v>
      </c>
      <c r="J135" s="77" t="s">
        <v>461</v>
      </c>
      <c r="K135" s="77" t="s">
        <v>451</v>
      </c>
      <c r="L135" s="77" t="s">
        <v>451</v>
      </c>
      <c r="M135" s="62" t="str">
        <f t="shared" si="2"/>
        <v>View on Google Map</v>
      </c>
    </row>
    <row r="136" spans="1:13">
      <c r="A136" s="77">
        <v>467</v>
      </c>
      <c r="B136" s="77" t="s">
        <v>676</v>
      </c>
      <c r="C136" s="77" t="s">
        <v>451</v>
      </c>
      <c r="D136" s="77">
        <v>68.794659999999993</v>
      </c>
      <c r="E136" s="77">
        <v>-149.46985000000001</v>
      </c>
      <c r="F136" s="77">
        <v>702</v>
      </c>
      <c r="G136" s="77" t="s">
        <v>460</v>
      </c>
      <c r="H136" s="77" t="s">
        <v>451</v>
      </c>
      <c r="I136" s="77" t="s">
        <v>451</v>
      </c>
      <c r="J136" s="77" t="s">
        <v>461</v>
      </c>
      <c r="K136" s="77" t="s">
        <v>451</v>
      </c>
      <c r="L136" s="77" t="s">
        <v>451</v>
      </c>
      <c r="M136" s="62" t="str">
        <f t="shared" si="2"/>
        <v>View on Google Map</v>
      </c>
    </row>
    <row r="137" spans="1:13">
      <c r="A137" s="77">
        <v>468</v>
      </c>
      <c r="B137" s="77" t="s">
        <v>677</v>
      </c>
      <c r="C137" s="77" t="s">
        <v>451</v>
      </c>
      <c r="D137" s="77">
        <v>68.797669999999997</v>
      </c>
      <c r="E137" s="77">
        <v>-149.46574000000001</v>
      </c>
      <c r="F137" s="77">
        <v>692</v>
      </c>
      <c r="G137" s="77" t="s">
        <v>460</v>
      </c>
      <c r="H137" s="77" t="s">
        <v>451</v>
      </c>
      <c r="I137" s="77" t="s">
        <v>451</v>
      </c>
      <c r="J137" s="77" t="s">
        <v>461</v>
      </c>
      <c r="K137" s="77" t="s">
        <v>451</v>
      </c>
      <c r="L137" s="77" t="s">
        <v>451</v>
      </c>
      <c r="M137" s="62" t="str">
        <f t="shared" si="2"/>
        <v>View on Google Map</v>
      </c>
    </row>
    <row r="138" spans="1:13">
      <c r="A138" s="77">
        <v>469</v>
      </c>
      <c r="B138" s="77" t="s">
        <v>678</v>
      </c>
      <c r="C138" s="77" t="s">
        <v>451</v>
      </c>
      <c r="D138" s="77">
        <v>68.802390000000003</v>
      </c>
      <c r="E138" s="77">
        <v>-149.46473</v>
      </c>
      <c r="F138" s="77">
        <v>683</v>
      </c>
      <c r="G138" s="77" t="s">
        <v>460</v>
      </c>
      <c r="H138" s="77" t="s">
        <v>451</v>
      </c>
      <c r="I138" s="77" t="s">
        <v>451</v>
      </c>
      <c r="J138" s="77" t="s">
        <v>461</v>
      </c>
      <c r="K138" s="77" t="s">
        <v>451</v>
      </c>
      <c r="L138" s="77" t="s">
        <v>451</v>
      </c>
      <c r="M138" s="62" t="str">
        <f t="shared" si="2"/>
        <v>View on Google Map</v>
      </c>
    </row>
    <row r="139" spans="1:13">
      <c r="A139" s="77">
        <v>406</v>
      </c>
      <c r="B139" s="77" t="s">
        <v>679</v>
      </c>
      <c r="C139" s="77" t="s">
        <v>451</v>
      </c>
      <c r="D139" s="77" t="s">
        <v>451</v>
      </c>
      <c r="E139" s="77" t="s">
        <v>451</v>
      </c>
      <c r="F139" s="77" t="s">
        <v>451</v>
      </c>
      <c r="G139" s="77" t="s">
        <v>460</v>
      </c>
      <c r="H139" s="77" t="s">
        <v>451</v>
      </c>
      <c r="I139" s="77" t="s">
        <v>451</v>
      </c>
      <c r="J139" s="77" t="s">
        <v>469</v>
      </c>
      <c r="K139" s="77" t="s">
        <v>451</v>
      </c>
      <c r="L139" s="77" t="s">
        <v>625</v>
      </c>
      <c r="M139" s="62" t="str">
        <f t="shared" si="2"/>
        <v>View on Google Map</v>
      </c>
    </row>
    <row r="140" spans="1:13">
      <c r="A140" s="77">
        <v>407</v>
      </c>
      <c r="B140" s="77" t="s">
        <v>680</v>
      </c>
      <c r="C140" s="77" t="s">
        <v>451</v>
      </c>
      <c r="D140" s="77" t="s">
        <v>451</v>
      </c>
      <c r="E140" s="77" t="s">
        <v>451</v>
      </c>
      <c r="F140" s="77" t="s">
        <v>451</v>
      </c>
      <c r="G140" s="77" t="s">
        <v>460</v>
      </c>
      <c r="H140" s="77" t="s">
        <v>451</v>
      </c>
      <c r="I140" s="77" t="s">
        <v>451</v>
      </c>
      <c r="J140" s="77" t="s">
        <v>469</v>
      </c>
      <c r="K140" s="77" t="s">
        <v>451</v>
      </c>
      <c r="L140" s="77" t="s">
        <v>625</v>
      </c>
      <c r="M140" s="62" t="str">
        <f t="shared" si="2"/>
        <v>View on Google Map</v>
      </c>
    </row>
    <row r="141" spans="1:13">
      <c r="A141" s="77">
        <v>164</v>
      </c>
      <c r="B141" s="77" t="s">
        <v>681</v>
      </c>
      <c r="C141" s="77" t="s">
        <v>451</v>
      </c>
      <c r="D141" s="77">
        <v>68.683333333333337</v>
      </c>
      <c r="E141" s="77">
        <v>-149.07666666666699</v>
      </c>
      <c r="F141" s="77">
        <v>770</v>
      </c>
      <c r="G141" s="77" t="s">
        <v>460</v>
      </c>
      <c r="H141" s="77" t="s">
        <v>682</v>
      </c>
      <c r="I141" s="77" t="s">
        <v>683</v>
      </c>
      <c r="J141" s="77" t="s">
        <v>469</v>
      </c>
      <c r="K141" s="77">
        <v>274</v>
      </c>
      <c r="L141" s="77" t="s">
        <v>451</v>
      </c>
      <c r="M141" s="62" t="str">
        <f t="shared" si="2"/>
        <v>View on Google Map</v>
      </c>
    </row>
    <row r="142" spans="1:13">
      <c r="A142" s="77">
        <v>165</v>
      </c>
      <c r="B142" s="77" t="s">
        <v>684</v>
      </c>
      <c r="C142" s="77" t="s">
        <v>451</v>
      </c>
      <c r="D142" s="77">
        <v>68.683333333333337</v>
      </c>
      <c r="E142" s="77">
        <v>-149.1</v>
      </c>
      <c r="F142" s="77">
        <v>785</v>
      </c>
      <c r="G142" s="77" t="s">
        <v>460</v>
      </c>
      <c r="H142" s="77" t="s">
        <v>685</v>
      </c>
      <c r="I142" s="77" t="s">
        <v>686</v>
      </c>
      <c r="J142" s="77" t="s">
        <v>469</v>
      </c>
      <c r="K142" s="77">
        <v>275</v>
      </c>
      <c r="L142" s="77" t="s">
        <v>451</v>
      </c>
      <c r="M142" s="62" t="str">
        <f t="shared" si="2"/>
        <v>View on Google Map</v>
      </c>
    </row>
    <row r="143" spans="1:13">
      <c r="A143" s="77">
        <v>166</v>
      </c>
      <c r="B143" s="77" t="s">
        <v>687</v>
      </c>
      <c r="C143" s="77" t="s">
        <v>451</v>
      </c>
      <c r="D143" s="77">
        <v>68.666666666666671</v>
      </c>
      <c r="E143" s="77">
        <v>-149.1</v>
      </c>
      <c r="F143" s="77">
        <v>792</v>
      </c>
      <c r="G143" s="77" t="s">
        <v>460</v>
      </c>
      <c r="H143" s="77" t="s">
        <v>688</v>
      </c>
      <c r="I143" s="77" t="s">
        <v>689</v>
      </c>
      <c r="J143" s="77" t="s">
        <v>469</v>
      </c>
      <c r="K143" s="77">
        <v>276</v>
      </c>
      <c r="L143" s="77" t="s">
        <v>451</v>
      </c>
      <c r="M143" s="62" t="str">
        <f t="shared" si="2"/>
        <v>View on Google Map</v>
      </c>
    </row>
    <row r="144" spans="1:13">
      <c r="A144" s="77">
        <v>167</v>
      </c>
      <c r="B144" s="77" t="s">
        <v>690</v>
      </c>
      <c r="C144" s="77" t="s">
        <v>451</v>
      </c>
      <c r="D144" s="77">
        <v>68.680000000000007</v>
      </c>
      <c r="E144" s="77">
        <v>-149.071666666667</v>
      </c>
      <c r="F144" s="77">
        <v>754</v>
      </c>
      <c r="G144" s="77" t="s">
        <v>460</v>
      </c>
      <c r="H144" s="77" t="s">
        <v>691</v>
      </c>
      <c r="I144" s="77" t="s">
        <v>692</v>
      </c>
      <c r="J144" s="77" t="s">
        <v>469</v>
      </c>
      <c r="K144" s="77" t="s">
        <v>451</v>
      </c>
      <c r="L144" s="77" t="s">
        <v>451</v>
      </c>
      <c r="M144" s="62" t="str">
        <f t="shared" si="2"/>
        <v>View on Google Map</v>
      </c>
    </row>
    <row r="145" spans="1:13">
      <c r="A145" s="77">
        <v>168</v>
      </c>
      <c r="B145" s="77" t="s">
        <v>693</v>
      </c>
      <c r="C145" s="77" t="s">
        <v>451</v>
      </c>
      <c r="D145" s="77">
        <v>68.674999999999997</v>
      </c>
      <c r="E145" s="77">
        <v>-149.06</v>
      </c>
      <c r="F145" s="77" t="s">
        <v>451</v>
      </c>
      <c r="G145" s="77" t="s">
        <v>460</v>
      </c>
      <c r="H145" s="77" t="s">
        <v>694</v>
      </c>
      <c r="I145" s="77" t="s">
        <v>434</v>
      </c>
      <c r="J145" s="77" t="s">
        <v>469</v>
      </c>
      <c r="K145" s="77" t="s">
        <v>451</v>
      </c>
      <c r="L145" s="77" t="s">
        <v>451</v>
      </c>
      <c r="M145" s="62" t="str">
        <f t="shared" si="2"/>
        <v>View on Google Map</v>
      </c>
    </row>
    <row r="146" spans="1:13">
      <c r="A146" s="77">
        <v>124</v>
      </c>
      <c r="B146" s="77" t="s">
        <v>695</v>
      </c>
      <c r="C146" s="77" t="s">
        <v>451</v>
      </c>
      <c r="D146" s="77">
        <v>68.466666666666669</v>
      </c>
      <c r="E146" s="77">
        <v>-149.5</v>
      </c>
      <c r="F146" s="77">
        <v>802</v>
      </c>
      <c r="G146" s="77" t="s">
        <v>460</v>
      </c>
      <c r="H146" s="77" t="s">
        <v>696</v>
      </c>
      <c r="I146" s="77" t="s">
        <v>451</v>
      </c>
      <c r="J146" s="77" t="s">
        <v>469</v>
      </c>
      <c r="K146" s="77" t="s">
        <v>451</v>
      </c>
      <c r="L146" s="77" t="s">
        <v>470</v>
      </c>
      <c r="M146" s="62" t="str">
        <f t="shared" si="2"/>
        <v>View on Google Map</v>
      </c>
    </row>
    <row r="147" spans="1:13">
      <c r="A147" s="77">
        <v>432</v>
      </c>
      <c r="B147" s="77" t="s">
        <v>697</v>
      </c>
      <c r="C147" s="77" t="s">
        <v>451</v>
      </c>
      <c r="D147" s="77" t="s">
        <v>451</v>
      </c>
      <c r="E147" s="77" t="s">
        <v>451</v>
      </c>
      <c r="F147" s="77">
        <v>800</v>
      </c>
      <c r="G147" s="77" t="s">
        <v>460</v>
      </c>
      <c r="H147" s="77" t="s">
        <v>698</v>
      </c>
      <c r="I147" s="77" t="s">
        <v>451</v>
      </c>
      <c r="J147" s="77" t="s">
        <v>469</v>
      </c>
      <c r="K147" s="77" t="s">
        <v>451</v>
      </c>
      <c r="L147" s="77" t="s">
        <v>699</v>
      </c>
      <c r="M147" s="62" t="str">
        <f t="shared" si="2"/>
        <v>View on Google Map</v>
      </c>
    </row>
    <row r="148" spans="1:13">
      <c r="A148" s="77">
        <v>433</v>
      </c>
      <c r="B148" s="77" t="s">
        <v>700</v>
      </c>
      <c r="C148" s="77" t="s">
        <v>451</v>
      </c>
      <c r="D148" s="77" t="s">
        <v>451</v>
      </c>
      <c r="E148" s="77" t="s">
        <v>451</v>
      </c>
      <c r="F148" s="77">
        <v>800</v>
      </c>
      <c r="G148" s="77" t="s">
        <v>460</v>
      </c>
      <c r="H148" s="77" t="s">
        <v>701</v>
      </c>
      <c r="I148" s="77" t="s">
        <v>451</v>
      </c>
      <c r="J148" s="77" t="s">
        <v>469</v>
      </c>
      <c r="K148" s="77" t="s">
        <v>451</v>
      </c>
      <c r="L148" s="77" t="s">
        <v>699</v>
      </c>
      <c r="M148" s="62" t="str">
        <f t="shared" si="2"/>
        <v>View on Google Map</v>
      </c>
    </row>
    <row r="149" spans="1:13">
      <c r="A149" s="77">
        <v>434</v>
      </c>
      <c r="B149" s="77" t="s">
        <v>702</v>
      </c>
      <c r="C149" s="77" t="s">
        <v>451</v>
      </c>
      <c r="D149" s="77" t="s">
        <v>451</v>
      </c>
      <c r="E149" s="77" t="s">
        <v>451</v>
      </c>
      <c r="F149" s="77">
        <v>801</v>
      </c>
      <c r="G149" s="77" t="s">
        <v>460</v>
      </c>
      <c r="H149" s="77" t="s">
        <v>703</v>
      </c>
      <c r="I149" s="77" t="s">
        <v>451</v>
      </c>
      <c r="J149" s="77" t="s">
        <v>469</v>
      </c>
      <c r="K149" s="77" t="s">
        <v>451</v>
      </c>
      <c r="L149" s="77" t="s">
        <v>699</v>
      </c>
      <c r="M149" s="62" t="str">
        <f t="shared" si="2"/>
        <v>View on Google Map</v>
      </c>
    </row>
    <row r="150" spans="1:13">
      <c r="A150" s="77">
        <v>435</v>
      </c>
      <c r="B150" s="77" t="s">
        <v>704</v>
      </c>
      <c r="C150" s="77" t="s">
        <v>451</v>
      </c>
      <c r="D150" s="77" t="s">
        <v>451</v>
      </c>
      <c r="E150" s="77" t="s">
        <v>451</v>
      </c>
      <c r="F150" s="77">
        <v>802</v>
      </c>
      <c r="G150" s="77" t="s">
        <v>460</v>
      </c>
      <c r="H150" s="77" t="s">
        <v>705</v>
      </c>
      <c r="I150" s="77" t="s">
        <v>451</v>
      </c>
      <c r="J150" s="77" t="s">
        <v>469</v>
      </c>
      <c r="K150" s="77" t="s">
        <v>451</v>
      </c>
      <c r="L150" s="77" t="s">
        <v>699</v>
      </c>
      <c r="M150" s="62" t="str">
        <f t="shared" si="2"/>
        <v>View on Google Map</v>
      </c>
    </row>
    <row r="151" spans="1:13">
      <c r="A151" s="77">
        <v>436</v>
      </c>
      <c r="B151" s="77" t="s">
        <v>706</v>
      </c>
      <c r="C151" s="77" t="s">
        <v>451</v>
      </c>
      <c r="D151" s="77" t="s">
        <v>451</v>
      </c>
      <c r="E151" s="77" t="s">
        <v>451</v>
      </c>
      <c r="F151" s="77">
        <v>803</v>
      </c>
      <c r="G151" s="77" t="s">
        <v>460</v>
      </c>
      <c r="H151" s="77" t="s">
        <v>707</v>
      </c>
      <c r="I151" s="77" t="s">
        <v>451</v>
      </c>
      <c r="J151" s="77" t="s">
        <v>469</v>
      </c>
      <c r="K151" s="77" t="s">
        <v>451</v>
      </c>
      <c r="L151" s="77" t="s">
        <v>699</v>
      </c>
      <c r="M151" s="62" t="str">
        <f t="shared" si="2"/>
        <v>View on Google Map</v>
      </c>
    </row>
    <row r="152" spans="1:13">
      <c r="A152" s="77">
        <v>437</v>
      </c>
      <c r="B152" s="77" t="s">
        <v>708</v>
      </c>
      <c r="C152" s="77" t="s">
        <v>451</v>
      </c>
      <c r="D152" s="77" t="s">
        <v>451</v>
      </c>
      <c r="E152" s="77" t="s">
        <v>451</v>
      </c>
      <c r="F152" s="77">
        <v>804</v>
      </c>
      <c r="G152" s="77" t="s">
        <v>460</v>
      </c>
      <c r="H152" s="77" t="s">
        <v>709</v>
      </c>
      <c r="I152" s="77" t="s">
        <v>451</v>
      </c>
      <c r="J152" s="77" t="s">
        <v>469</v>
      </c>
      <c r="K152" s="77" t="s">
        <v>451</v>
      </c>
      <c r="L152" s="77" t="s">
        <v>699</v>
      </c>
      <c r="M152" s="62" t="str">
        <f t="shared" si="2"/>
        <v>View on Google Map</v>
      </c>
    </row>
    <row r="153" spans="1:13">
      <c r="A153" s="77">
        <v>438</v>
      </c>
      <c r="B153" s="77" t="s">
        <v>710</v>
      </c>
      <c r="C153" s="77" t="s">
        <v>451</v>
      </c>
      <c r="D153" s="77" t="s">
        <v>451</v>
      </c>
      <c r="E153" s="77" t="s">
        <v>451</v>
      </c>
      <c r="F153" s="77">
        <v>805</v>
      </c>
      <c r="G153" s="77" t="s">
        <v>460</v>
      </c>
      <c r="H153" s="77" t="s">
        <v>711</v>
      </c>
      <c r="I153" s="77" t="s">
        <v>451</v>
      </c>
      <c r="J153" s="77" t="s">
        <v>469</v>
      </c>
      <c r="K153" s="77" t="s">
        <v>451</v>
      </c>
      <c r="L153" s="77" t="s">
        <v>699</v>
      </c>
      <c r="M153" s="62" t="str">
        <f t="shared" si="2"/>
        <v>View on Google Map</v>
      </c>
    </row>
    <row r="154" spans="1:13">
      <c r="A154" s="77">
        <v>439</v>
      </c>
      <c r="B154" s="77" t="s">
        <v>712</v>
      </c>
      <c r="C154" s="77" t="s">
        <v>451</v>
      </c>
      <c r="D154" s="77" t="s">
        <v>451</v>
      </c>
      <c r="E154" s="77" t="s">
        <v>451</v>
      </c>
      <c r="F154" s="77">
        <v>807</v>
      </c>
      <c r="G154" s="77" t="s">
        <v>460</v>
      </c>
      <c r="H154" s="77" t="s">
        <v>713</v>
      </c>
      <c r="I154" s="77" t="s">
        <v>451</v>
      </c>
      <c r="J154" s="77" t="s">
        <v>469</v>
      </c>
      <c r="K154" s="77" t="s">
        <v>451</v>
      </c>
      <c r="L154" s="77" t="s">
        <v>699</v>
      </c>
      <c r="M154" s="62" t="str">
        <f t="shared" si="2"/>
        <v>View on Google Map</v>
      </c>
    </row>
    <row r="155" spans="1:13">
      <c r="A155" s="77">
        <v>440</v>
      </c>
      <c r="B155" s="77" t="s">
        <v>714</v>
      </c>
      <c r="C155" s="77" t="s">
        <v>451</v>
      </c>
      <c r="D155" s="77" t="s">
        <v>451</v>
      </c>
      <c r="E155" s="77" t="s">
        <v>451</v>
      </c>
      <c r="F155" s="77">
        <v>805</v>
      </c>
      <c r="G155" s="77" t="s">
        <v>460</v>
      </c>
      <c r="H155" s="77" t="s">
        <v>715</v>
      </c>
      <c r="I155" s="77" t="s">
        <v>451</v>
      </c>
      <c r="J155" s="77" t="s">
        <v>469</v>
      </c>
      <c r="K155" s="77" t="s">
        <v>451</v>
      </c>
      <c r="L155" s="77" t="s">
        <v>699</v>
      </c>
      <c r="M155" s="62" t="str">
        <f t="shared" si="2"/>
        <v>View on Google Map</v>
      </c>
    </row>
    <row r="156" spans="1:13">
      <c r="A156" s="77">
        <v>441</v>
      </c>
      <c r="B156" s="77" t="s">
        <v>716</v>
      </c>
      <c r="C156" s="77" t="s">
        <v>451</v>
      </c>
      <c r="D156" s="77" t="s">
        <v>451</v>
      </c>
      <c r="E156" s="77" t="s">
        <v>451</v>
      </c>
      <c r="F156" s="77">
        <v>805</v>
      </c>
      <c r="G156" s="77" t="s">
        <v>460</v>
      </c>
      <c r="H156" s="77" t="s">
        <v>717</v>
      </c>
      <c r="I156" s="77" t="s">
        <v>451</v>
      </c>
      <c r="J156" s="77" t="s">
        <v>469</v>
      </c>
      <c r="K156" s="77" t="s">
        <v>451</v>
      </c>
      <c r="L156" s="77" t="s">
        <v>699</v>
      </c>
      <c r="M156" s="62" t="str">
        <f t="shared" si="2"/>
        <v>View on Google Map</v>
      </c>
    </row>
    <row r="157" spans="1:13">
      <c r="A157" s="77">
        <v>442</v>
      </c>
      <c r="B157" s="77" t="s">
        <v>718</v>
      </c>
      <c r="C157" s="77" t="s">
        <v>451</v>
      </c>
      <c r="D157" s="77" t="s">
        <v>451</v>
      </c>
      <c r="E157" s="77" t="s">
        <v>451</v>
      </c>
      <c r="F157" s="77">
        <v>805</v>
      </c>
      <c r="G157" s="77" t="s">
        <v>460</v>
      </c>
      <c r="H157" s="77" t="s">
        <v>719</v>
      </c>
      <c r="I157" s="77" t="s">
        <v>451</v>
      </c>
      <c r="J157" s="77" t="s">
        <v>469</v>
      </c>
      <c r="K157" s="77" t="s">
        <v>451</v>
      </c>
      <c r="L157" s="77" t="s">
        <v>699</v>
      </c>
      <c r="M157" s="62" t="str">
        <f t="shared" si="2"/>
        <v>View on Google Map</v>
      </c>
    </row>
    <row r="158" spans="1:13">
      <c r="A158" s="77">
        <v>443</v>
      </c>
      <c r="B158" s="77" t="s">
        <v>720</v>
      </c>
      <c r="C158" s="77" t="s">
        <v>451</v>
      </c>
      <c r="D158" s="77" t="s">
        <v>451</v>
      </c>
      <c r="E158" s="77" t="s">
        <v>451</v>
      </c>
      <c r="F158" s="77">
        <v>812</v>
      </c>
      <c r="G158" s="77" t="s">
        <v>460</v>
      </c>
      <c r="H158" s="77" t="s">
        <v>721</v>
      </c>
      <c r="I158" s="77" t="s">
        <v>451</v>
      </c>
      <c r="J158" s="77" t="s">
        <v>469</v>
      </c>
      <c r="K158" s="77" t="s">
        <v>451</v>
      </c>
      <c r="L158" s="77" t="s">
        <v>699</v>
      </c>
      <c r="M158" s="62" t="str">
        <f t="shared" si="2"/>
        <v>View on Google Map</v>
      </c>
    </row>
    <row r="159" spans="1:13">
      <c r="A159" s="77">
        <v>28</v>
      </c>
      <c r="B159" s="77" t="s">
        <v>722</v>
      </c>
      <c r="C159" s="77" t="s">
        <v>451</v>
      </c>
      <c r="D159" s="77" t="s">
        <v>451</v>
      </c>
      <c r="E159" s="77" t="s">
        <v>451</v>
      </c>
      <c r="F159" s="77">
        <v>1189</v>
      </c>
      <c r="G159" s="77" t="s">
        <v>468</v>
      </c>
      <c r="H159" s="77" t="s">
        <v>723</v>
      </c>
      <c r="I159" s="77" t="s">
        <v>451</v>
      </c>
      <c r="J159" s="77" t="s">
        <v>469</v>
      </c>
      <c r="K159" s="77" t="s">
        <v>451</v>
      </c>
      <c r="L159" s="77" t="s">
        <v>451</v>
      </c>
      <c r="M159" s="62" t="str">
        <f t="shared" si="2"/>
        <v>View on Google Map</v>
      </c>
    </row>
    <row r="160" spans="1:13">
      <c r="A160" s="77">
        <v>29</v>
      </c>
      <c r="B160" s="77" t="s">
        <v>724</v>
      </c>
      <c r="C160" s="77" t="s">
        <v>451</v>
      </c>
      <c r="D160" s="77" t="s">
        <v>451</v>
      </c>
      <c r="E160" s="77" t="s">
        <v>451</v>
      </c>
      <c r="F160" s="77">
        <v>1372</v>
      </c>
      <c r="G160" s="77" t="s">
        <v>468</v>
      </c>
      <c r="H160" s="77" t="s">
        <v>725</v>
      </c>
      <c r="I160" s="77" t="s">
        <v>451</v>
      </c>
      <c r="J160" s="77" t="s">
        <v>469</v>
      </c>
      <c r="K160" s="77" t="s">
        <v>451</v>
      </c>
      <c r="L160" s="77" t="s">
        <v>451</v>
      </c>
      <c r="M160" s="62" t="str">
        <f t="shared" si="2"/>
        <v>View on Google Map</v>
      </c>
    </row>
    <row r="161" spans="1:13">
      <c r="A161" s="77">
        <v>30</v>
      </c>
      <c r="B161" s="77" t="s">
        <v>726</v>
      </c>
      <c r="C161" s="77" t="s">
        <v>451</v>
      </c>
      <c r="D161" s="77" t="s">
        <v>451</v>
      </c>
      <c r="E161" s="77" t="s">
        <v>451</v>
      </c>
      <c r="F161" s="77">
        <v>1463</v>
      </c>
      <c r="G161" s="77" t="s">
        <v>468</v>
      </c>
      <c r="H161" s="77" t="s">
        <v>727</v>
      </c>
      <c r="I161" s="77" t="s">
        <v>451</v>
      </c>
      <c r="J161" s="77" t="s">
        <v>469</v>
      </c>
      <c r="K161" s="77" t="s">
        <v>451</v>
      </c>
      <c r="L161" s="77" t="s">
        <v>451</v>
      </c>
      <c r="M161" s="62" t="str">
        <f t="shared" si="2"/>
        <v>View on Google Map</v>
      </c>
    </row>
    <row r="162" spans="1:13">
      <c r="A162" s="77">
        <v>142</v>
      </c>
      <c r="B162" s="77" t="s">
        <v>728</v>
      </c>
      <c r="C162" s="77" t="s">
        <v>729</v>
      </c>
      <c r="D162" s="77">
        <v>68.53698</v>
      </c>
      <c r="E162" s="77">
        <v>-149.23740000000001</v>
      </c>
      <c r="F162" s="77">
        <v>883</v>
      </c>
      <c r="G162" s="77" t="s">
        <v>460</v>
      </c>
      <c r="H162" s="77" t="s">
        <v>730</v>
      </c>
      <c r="I162" s="77" t="s">
        <v>731</v>
      </c>
      <c r="J162" s="77" t="s">
        <v>469</v>
      </c>
      <c r="K162" s="77" t="s">
        <v>451</v>
      </c>
      <c r="L162" s="77" t="s">
        <v>470</v>
      </c>
      <c r="M162" s="62" t="str">
        <f t="shared" si="2"/>
        <v>View on Google Map</v>
      </c>
    </row>
    <row r="163" spans="1:13">
      <c r="A163" s="77">
        <v>416</v>
      </c>
      <c r="B163" s="77" t="s">
        <v>732</v>
      </c>
      <c r="C163" s="77" t="s">
        <v>451</v>
      </c>
      <c r="D163" s="77">
        <v>68.495919999999998</v>
      </c>
      <c r="E163" s="77">
        <v>-149.60204999999999</v>
      </c>
      <c r="F163" s="77">
        <v>938</v>
      </c>
      <c r="G163" s="77" t="s">
        <v>460</v>
      </c>
      <c r="H163" s="77" t="s">
        <v>733</v>
      </c>
      <c r="I163" s="77" t="s">
        <v>451</v>
      </c>
      <c r="J163" s="77" t="s">
        <v>734</v>
      </c>
      <c r="K163" s="77" t="s">
        <v>451</v>
      </c>
      <c r="L163" s="77" t="s">
        <v>735</v>
      </c>
      <c r="M163" s="62" t="str">
        <f t="shared" si="2"/>
        <v>View on Google Map</v>
      </c>
    </row>
    <row r="164" spans="1:13">
      <c r="A164" s="77">
        <v>417</v>
      </c>
      <c r="B164" s="77" t="s">
        <v>736</v>
      </c>
      <c r="C164" s="77" t="s">
        <v>451</v>
      </c>
      <c r="D164" s="77">
        <v>68.491129999999998</v>
      </c>
      <c r="E164" s="77">
        <v>-149.60795999999999</v>
      </c>
      <c r="F164" s="77">
        <v>937</v>
      </c>
      <c r="G164" s="77" t="s">
        <v>460</v>
      </c>
      <c r="H164" s="77" t="s">
        <v>737</v>
      </c>
      <c r="I164" s="77" t="s">
        <v>451</v>
      </c>
      <c r="J164" s="77" t="s">
        <v>734</v>
      </c>
      <c r="K164" s="77" t="s">
        <v>451</v>
      </c>
      <c r="L164" s="77" t="s">
        <v>735</v>
      </c>
      <c r="M164" s="62" t="str">
        <f t="shared" si="2"/>
        <v>View on Google Map</v>
      </c>
    </row>
    <row r="165" spans="1:13">
      <c r="A165" s="77">
        <v>418</v>
      </c>
      <c r="B165" s="77" t="s">
        <v>738</v>
      </c>
      <c r="C165" s="77" t="s">
        <v>451</v>
      </c>
      <c r="D165" s="77">
        <v>68.485740000000007</v>
      </c>
      <c r="E165" s="77">
        <v>-149.61169000000001</v>
      </c>
      <c r="F165" s="77">
        <v>936</v>
      </c>
      <c r="G165" s="77" t="s">
        <v>460</v>
      </c>
      <c r="H165" s="77" t="s">
        <v>451</v>
      </c>
      <c r="I165" s="77" t="s">
        <v>451</v>
      </c>
      <c r="J165" s="77" t="s">
        <v>734</v>
      </c>
      <c r="K165" s="77" t="s">
        <v>451</v>
      </c>
      <c r="L165" s="77" t="s">
        <v>735</v>
      </c>
      <c r="M165" s="62" t="str">
        <f t="shared" si="2"/>
        <v>View on Google Map</v>
      </c>
    </row>
    <row r="166" spans="1:13">
      <c r="A166" s="77">
        <v>419</v>
      </c>
      <c r="B166" s="77" t="s">
        <v>739</v>
      </c>
      <c r="C166" s="77" t="s">
        <v>451</v>
      </c>
      <c r="D166" s="77">
        <v>68.486249999999998</v>
      </c>
      <c r="E166" s="77">
        <v>-149.62468999999999</v>
      </c>
      <c r="F166" s="77">
        <v>934</v>
      </c>
      <c r="G166" s="77" t="s">
        <v>460</v>
      </c>
      <c r="H166" s="77" t="s">
        <v>740</v>
      </c>
      <c r="I166" s="77" t="s">
        <v>451</v>
      </c>
      <c r="J166" s="77" t="s">
        <v>734</v>
      </c>
      <c r="K166" s="77" t="s">
        <v>451</v>
      </c>
      <c r="L166" s="77" t="s">
        <v>735</v>
      </c>
      <c r="M166" s="62" t="str">
        <f t="shared" si="2"/>
        <v>View on Google Map</v>
      </c>
    </row>
    <row r="167" spans="1:13">
      <c r="A167" s="77">
        <v>420</v>
      </c>
      <c r="B167" s="77" t="s">
        <v>741</v>
      </c>
      <c r="C167" s="77" t="s">
        <v>451</v>
      </c>
      <c r="D167" s="77" t="s">
        <v>451</v>
      </c>
      <c r="E167" s="77" t="s">
        <v>451</v>
      </c>
      <c r="F167" s="77" t="s">
        <v>451</v>
      </c>
      <c r="G167" s="77" t="s">
        <v>460</v>
      </c>
      <c r="H167" s="77" t="s">
        <v>451</v>
      </c>
      <c r="I167" s="77" t="s">
        <v>451</v>
      </c>
      <c r="J167" s="77" t="s">
        <v>734</v>
      </c>
      <c r="K167" s="77" t="s">
        <v>451</v>
      </c>
      <c r="L167" s="77" t="s">
        <v>735</v>
      </c>
      <c r="M167" s="62" t="str">
        <f t="shared" si="2"/>
        <v>View on Google Map</v>
      </c>
    </row>
    <row r="168" spans="1:13">
      <c r="A168" s="77">
        <v>421</v>
      </c>
      <c r="B168" s="77" t="s">
        <v>742</v>
      </c>
      <c r="C168" s="77" t="s">
        <v>451</v>
      </c>
      <c r="D168" s="77" t="s">
        <v>451</v>
      </c>
      <c r="E168" s="77" t="s">
        <v>451</v>
      </c>
      <c r="F168" s="77" t="s">
        <v>451</v>
      </c>
      <c r="G168" s="77" t="s">
        <v>460</v>
      </c>
      <c r="H168" s="77" t="s">
        <v>451</v>
      </c>
      <c r="I168" s="77" t="s">
        <v>451</v>
      </c>
      <c r="J168" s="77" t="s">
        <v>734</v>
      </c>
      <c r="K168" s="77" t="s">
        <v>451</v>
      </c>
      <c r="L168" s="77" t="s">
        <v>735</v>
      </c>
      <c r="M168" s="62" t="str">
        <f t="shared" si="2"/>
        <v>View on Google Map</v>
      </c>
    </row>
    <row r="169" spans="1:13">
      <c r="A169" s="77">
        <v>422</v>
      </c>
      <c r="B169" s="77" t="s">
        <v>743</v>
      </c>
      <c r="C169" s="77" t="s">
        <v>451</v>
      </c>
      <c r="D169" s="77" t="s">
        <v>451</v>
      </c>
      <c r="E169" s="77" t="s">
        <v>451</v>
      </c>
      <c r="F169" s="77" t="s">
        <v>451</v>
      </c>
      <c r="G169" s="77" t="s">
        <v>460</v>
      </c>
      <c r="H169" s="77" t="s">
        <v>451</v>
      </c>
      <c r="I169" s="77" t="s">
        <v>451</v>
      </c>
      <c r="J169" s="77" t="s">
        <v>734</v>
      </c>
      <c r="K169" s="77" t="s">
        <v>451</v>
      </c>
      <c r="L169" s="77" t="s">
        <v>735</v>
      </c>
      <c r="M169" s="62" t="str">
        <f t="shared" si="2"/>
        <v>View on Google Map</v>
      </c>
    </row>
    <row r="170" spans="1:13">
      <c r="A170" s="77">
        <v>423</v>
      </c>
      <c r="B170" s="77" t="s">
        <v>744</v>
      </c>
      <c r="C170" s="77" t="s">
        <v>451</v>
      </c>
      <c r="D170" s="77" t="s">
        <v>451</v>
      </c>
      <c r="E170" s="77" t="s">
        <v>451</v>
      </c>
      <c r="F170" s="77" t="s">
        <v>451</v>
      </c>
      <c r="G170" s="77" t="s">
        <v>460</v>
      </c>
      <c r="H170" s="77" t="s">
        <v>451</v>
      </c>
      <c r="I170" s="77" t="s">
        <v>451</v>
      </c>
      <c r="J170" s="77" t="s">
        <v>734</v>
      </c>
      <c r="K170" s="77" t="s">
        <v>451</v>
      </c>
      <c r="L170" s="77" t="s">
        <v>735</v>
      </c>
      <c r="M170" s="62" t="str">
        <f t="shared" si="2"/>
        <v>View on Google Map</v>
      </c>
    </row>
    <row r="171" spans="1:13">
      <c r="A171" s="77">
        <v>424</v>
      </c>
      <c r="B171" s="77" t="s">
        <v>745</v>
      </c>
      <c r="C171" s="77" t="s">
        <v>451</v>
      </c>
      <c r="D171" s="77" t="s">
        <v>451</v>
      </c>
      <c r="E171" s="77" t="s">
        <v>451</v>
      </c>
      <c r="F171" s="77" t="s">
        <v>451</v>
      </c>
      <c r="G171" s="77" t="s">
        <v>460</v>
      </c>
      <c r="H171" s="77" t="s">
        <v>451</v>
      </c>
      <c r="I171" s="77" t="s">
        <v>451</v>
      </c>
      <c r="J171" s="77" t="s">
        <v>734</v>
      </c>
      <c r="K171" s="77" t="s">
        <v>451</v>
      </c>
      <c r="L171" s="77" t="s">
        <v>735</v>
      </c>
      <c r="M171" s="62" t="str">
        <f t="shared" si="2"/>
        <v>View on Google Map</v>
      </c>
    </row>
    <row r="172" spans="1:13">
      <c r="A172" s="77">
        <v>425</v>
      </c>
      <c r="B172" s="77" t="s">
        <v>746</v>
      </c>
      <c r="C172" s="77" t="s">
        <v>451</v>
      </c>
      <c r="D172" s="77" t="s">
        <v>451</v>
      </c>
      <c r="E172" s="77" t="s">
        <v>451</v>
      </c>
      <c r="F172" s="77" t="s">
        <v>451</v>
      </c>
      <c r="G172" s="77" t="s">
        <v>460</v>
      </c>
      <c r="H172" s="77" t="s">
        <v>451</v>
      </c>
      <c r="I172" s="77" t="s">
        <v>451</v>
      </c>
      <c r="J172" s="77" t="s">
        <v>734</v>
      </c>
      <c r="K172" s="77" t="s">
        <v>451</v>
      </c>
      <c r="L172" s="77" t="s">
        <v>735</v>
      </c>
      <c r="M172" s="62" t="str">
        <f t="shared" si="2"/>
        <v>View on Google Map</v>
      </c>
    </row>
    <row r="173" spans="1:13">
      <c r="A173" s="77">
        <v>426</v>
      </c>
      <c r="B173" s="77" t="s">
        <v>747</v>
      </c>
      <c r="C173" s="77" t="s">
        <v>451</v>
      </c>
      <c r="D173" s="77" t="s">
        <v>451</v>
      </c>
      <c r="E173" s="77" t="s">
        <v>451</v>
      </c>
      <c r="F173" s="77" t="s">
        <v>451</v>
      </c>
      <c r="G173" s="77" t="s">
        <v>460</v>
      </c>
      <c r="H173" s="77" t="s">
        <v>451</v>
      </c>
      <c r="I173" s="77" t="s">
        <v>451</v>
      </c>
      <c r="J173" s="77" t="s">
        <v>734</v>
      </c>
      <c r="K173" s="77" t="s">
        <v>451</v>
      </c>
      <c r="L173" s="77" t="s">
        <v>735</v>
      </c>
      <c r="M173" s="62" t="str">
        <f t="shared" si="2"/>
        <v>View on Google Map</v>
      </c>
    </row>
    <row r="174" spans="1:13">
      <c r="A174" s="77">
        <v>427</v>
      </c>
      <c r="B174" s="77" t="s">
        <v>748</v>
      </c>
      <c r="C174" s="77" t="s">
        <v>451</v>
      </c>
      <c r="D174" s="77" t="s">
        <v>451</v>
      </c>
      <c r="E174" s="77" t="s">
        <v>451</v>
      </c>
      <c r="F174" s="77" t="s">
        <v>451</v>
      </c>
      <c r="G174" s="77" t="s">
        <v>460</v>
      </c>
      <c r="H174" s="77" t="s">
        <v>451</v>
      </c>
      <c r="I174" s="77" t="s">
        <v>451</v>
      </c>
      <c r="J174" s="77" t="s">
        <v>734</v>
      </c>
      <c r="K174" s="77" t="s">
        <v>451</v>
      </c>
      <c r="L174" s="77" t="s">
        <v>735</v>
      </c>
      <c r="M174" s="62" t="str">
        <f t="shared" si="2"/>
        <v>View on Google Map</v>
      </c>
    </row>
    <row r="175" spans="1:13">
      <c r="A175" s="77">
        <v>428</v>
      </c>
      <c r="B175" s="77" t="s">
        <v>749</v>
      </c>
      <c r="C175" s="77" t="s">
        <v>451</v>
      </c>
      <c r="D175" s="77" t="s">
        <v>451</v>
      </c>
      <c r="E175" s="77" t="s">
        <v>451</v>
      </c>
      <c r="F175" s="77" t="s">
        <v>451</v>
      </c>
      <c r="G175" s="77" t="s">
        <v>460</v>
      </c>
      <c r="H175" s="77" t="s">
        <v>451</v>
      </c>
      <c r="I175" s="77" t="s">
        <v>451</v>
      </c>
      <c r="J175" s="77" t="s">
        <v>734</v>
      </c>
      <c r="K175" s="77" t="s">
        <v>451</v>
      </c>
      <c r="L175" s="77" t="s">
        <v>735</v>
      </c>
      <c r="M175" s="62" t="str">
        <f t="shared" si="2"/>
        <v>View on Google Map</v>
      </c>
    </row>
    <row r="176" spans="1:13">
      <c r="A176" s="77">
        <v>429</v>
      </c>
      <c r="B176" s="77" t="s">
        <v>750</v>
      </c>
      <c r="C176" s="77" t="s">
        <v>451</v>
      </c>
      <c r="D176" s="77" t="s">
        <v>451</v>
      </c>
      <c r="E176" s="77" t="s">
        <v>451</v>
      </c>
      <c r="F176" s="77" t="s">
        <v>451</v>
      </c>
      <c r="G176" s="77" t="s">
        <v>460</v>
      </c>
      <c r="H176" s="77" t="s">
        <v>451</v>
      </c>
      <c r="I176" s="77" t="s">
        <v>451</v>
      </c>
      <c r="J176" s="77" t="s">
        <v>734</v>
      </c>
      <c r="K176" s="77" t="s">
        <v>451</v>
      </c>
      <c r="L176" s="77" t="s">
        <v>735</v>
      </c>
      <c r="M176" s="62" t="str">
        <f t="shared" si="2"/>
        <v>View on Google Map</v>
      </c>
    </row>
    <row r="177" spans="1:13">
      <c r="A177" s="77">
        <v>430</v>
      </c>
      <c r="B177" s="77" t="s">
        <v>751</v>
      </c>
      <c r="C177" s="77" t="s">
        <v>451</v>
      </c>
      <c r="D177" s="77" t="s">
        <v>451</v>
      </c>
      <c r="E177" s="77" t="s">
        <v>451</v>
      </c>
      <c r="F177" s="77" t="s">
        <v>451</v>
      </c>
      <c r="G177" s="77" t="s">
        <v>460</v>
      </c>
      <c r="H177" s="77" t="s">
        <v>451</v>
      </c>
      <c r="I177" s="77" t="s">
        <v>451</v>
      </c>
      <c r="J177" s="77" t="s">
        <v>734</v>
      </c>
      <c r="K177" s="77" t="s">
        <v>451</v>
      </c>
      <c r="L177" s="77" t="s">
        <v>735</v>
      </c>
      <c r="M177" s="62" t="str">
        <f t="shared" si="2"/>
        <v>View on Google Map</v>
      </c>
    </row>
    <row r="178" spans="1:13">
      <c r="A178" s="77">
        <v>398</v>
      </c>
      <c r="B178" s="77" t="s">
        <v>752</v>
      </c>
      <c r="C178" s="77" t="s">
        <v>451</v>
      </c>
      <c r="D178" s="77" t="s">
        <v>451</v>
      </c>
      <c r="E178" s="77" t="s">
        <v>451</v>
      </c>
      <c r="F178" s="77" t="s">
        <v>451</v>
      </c>
      <c r="G178" s="77" t="s">
        <v>460</v>
      </c>
      <c r="H178" s="77" t="s">
        <v>451</v>
      </c>
      <c r="I178" s="77" t="s">
        <v>451</v>
      </c>
      <c r="J178" s="77" t="s">
        <v>734</v>
      </c>
      <c r="K178" s="77" t="s">
        <v>451</v>
      </c>
      <c r="L178" s="77" t="s">
        <v>735</v>
      </c>
      <c r="M178" s="62" t="str">
        <f t="shared" si="2"/>
        <v>View on Google Map</v>
      </c>
    </row>
    <row r="179" spans="1:13">
      <c r="A179" s="77">
        <v>389</v>
      </c>
      <c r="B179" s="77" t="s">
        <v>753</v>
      </c>
      <c r="C179" s="77" t="s">
        <v>451</v>
      </c>
      <c r="D179" s="77" t="s">
        <v>451</v>
      </c>
      <c r="E179" s="77" t="s">
        <v>451</v>
      </c>
      <c r="F179" s="77" t="s">
        <v>451</v>
      </c>
      <c r="G179" s="77" t="s">
        <v>460</v>
      </c>
      <c r="H179" s="77" t="s">
        <v>451</v>
      </c>
      <c r="I179" s="77" t="s">
        <v>451</v>
      </c>
      <c r="J179" s="77" t="s">
        <v>734</v>
      </c>
      <c r="K179" s="77" t="s">
        <v>451</v>
      </c>
      <c r="L179" s="77" t="s">
        <v>735</v>
      </c>
      <c r="M179" s="62" t="str">
        <f t="shared" si="2"/>
        <v>View on Google Map</v>
      </c>
    </row>
    <row r="180" spans="1:13">
      <c r="A180" s="77">
        <v>390</v>
      </c>
      <c r="B180" s="77" t="s">
        <v>754</v>
      </c>
      <c r="C180" s="77" t="s">
        <v>451</v>
      </c>
      <c r="D180" s="77" t="s">
        <v>451</v>
      </c>
      <c r="E180" s="77" t="s">
        <v>451</v>
      </c>
      <c r="F180" s="77" t="s">
        <v>451</v>
      </c>
      <c r="G180" s="77" t="s">
        <v>460</v>
      </c>
      <c r="H180" s="77" t="s">
        <v>451</v>
      </c>
      <c r="I180" s="77" t="s">
        <v>451</v>
      </c>
      <c r="J180" s="77" t="s">
        <v>734</v>
      </c>
      <c r="K180" s="77" t="s">
        <v>451</v>
      </c>
      <c r="L180" s="77" t="s">
        <v>735</v>
      </c>
      <c r="M180" s="62" t="str">
        <f t="shared" si="2"/>
        <v>View on Google Map</v>
      </c>
    </row>
    <row r="181" spans="1:13">
      <c r="A181" s="77">
        <v>391</v>
      </c>
      <c r="B181" s="77" t="s">
        <v>755</v>
      </c>
      <c r="C181" s="77" t="s">
        <v>451</v>
      </c>
      <c r="D181" s="77" t="s">
        <v>451</v>
      </c>
      <c r="E181" s="77" t="s">
        <v>451</v>
      </c>
      <c r="F181" s="77" t="s">
        <v>451</v>
      </c>
      <c r="G181" s="77" t="s">
        <v>460</v>
      </c>
      <c r="H181" s="77" t="s">
        <v>451</v>
      </c>
      <c r="I181" s="77" t="s">
        <v>451</v>
      </c>
      <c r="J181" s="77" t="s">
        <v>734</v>
      </c>
      <c r="K181" s="77" t="s">
        <v>451</v>
      </c>
      <c r="L181" s="77" t="s">
        <v>735</v>
      </c>
      <c r="M181" s="62" t="str">
        <f t="shared" si="2"/>
        <v>View on Google Map</v>
      </c>
    </row>
    <row r="182" spans="1:13">
      <c r="A182" s="77">
        <v>392</v>
      </c>
      <c r="B182" s="77" t="s">
        <v>756</v>
      </c>
      <c r="C182" s="77" t="s">
        <v>451</v>
      </c>
      <c r="D182" s="77" t="s">
        <v>451</v>
      </c>
      <c r="E182" s="77" t="s">
        <v>451</v>
      </c>
      <c r="F182" s="77" t="s">
        <v>451</v>
      </c>
      <c r="G182" s="77" t="s">
        <v>460</v>
      </c>
      <c r="H182" s="77" t="s">
        <v>451</v>
      </c>
      <c r="I182" s="77" t="s">
        <v>451</v>
      </c>
      <c r="J182" s="77" t="s">
        <v>734</v>
      </c>
      <c r="K182" s="77" t="s">
        <v>451</v>
      </c>
      <c r="L182" s="77" t="s">
        <v>735</v>
      </c>
      <c r="M182" s="62" t="str">
        <f t="shared" si="2"/>
        <v>View on Google Map</v>
      </c>
    </row>
    <row r="183" spans="1:13">
      <c r="A183" s="77">
        <v>393</v>
      </c>
      <c r="B183" s="77" t="s">
        <v>757</v>
      </c>
      <c r="C183" s="77" t="s">
        <v>451</v>
      </c>
      <c r="D183" s="77" t="s">
        <v>451</v>
      </c>
      <c r="E183" s="77" t="s">
        <v>451</v>
      </c>
      <c r="F183" s="77" t="s">
        <v>451</v>
      </c>
      <c r="G183" s="77" t="s">
        <v>460</v>
      </c>
      <c r="H183" s="77" t="s">
        <v>451</v>
      </c>
      <c r="I183" s="77" t="s">
        <v>451</v>
      </c>
      <c r="J183" s="77" t="s">
        <v>734</v>
      </c>
      <c r="K183" s="77" t="s">
        <v>451</v>
      </c>
      <c r="L183" s="77" t="s">
        <v>735</v>
      </c>
      <c r="M183" s="62" t="str">
        <f t="shared" si="2"/>
        <v>View on Google Map</v>
      </c>
    </row>
    <row r="184" spans="1:13">
      <c r="A184" s="77">
        <v>394</v>
      </c>
      <c r="B184" s="77" t="s">
        <v>758</v>
      </c>
      <c r="C184" s="77" t="s">
        <v>451</v>
      </c>
      <c r="D184" s="77" t="s">
        <v>451</v>
      </c>
      <c r="E184" s="77" t="s">
        <v>451</v>
      </c>
      <c r="F184" s="77" t="s">
        <v>451</v>
      </c>
      <c r="G184" s="77" t="s">
        <v>460</v>
      </c>
      <c r="H184" s="77" t="s">
        <v>451</v>
      </c>
      <c r="I184" s="77" t="s">
        <v>451</v>
      </c>
      <c r="J184" s="77" t="s">
        <v>734</v>
      </c>
      <c r="K184" s="77" t="s">
        <v>451</v>
      </c>
      <c r="L184" s="77" t="s">
        <v>735</v>
      </c>
      <c r="M184" s="62" t="str">
        <f t="shared" si="2"/>
        <v>View on Google Map</v>
      </c>
    </row>
    <row r="185" spans="1:13">
      <c r="A185" s="77">
        <v>395</v>
      </c>
      <c r="B185" s="77" t="s">
        <v>759</v>
      </c>
      <c r="C185" s="77" t="s">
        <v>451</v>
      </c>
      <c r="D185" s="77" t="s">
        <v>451</v>
      </c>
      <c r="E185" s="77" t="s">
        <v>451</v>
      </c>
      <c r="F185" s="77" t="s">
        <v>451</v>
      </c>
      <c r="G185" s="77" t="s">
        <v>460</v>
      </c>
      <c r="H185" s="77" t="s">
        <v>451</v>
      </c>
      <c r="I185" s="77" t="s">
        <v>451</v>
      </c>
      <c r="J185" s="77" t="s">
        <v>734</v>
      </c>
      <c r="K185" s="77" t="s">
        <v>451</v>
      </c>
      <c r="L185" s="77" t="s">
        <v>735</v>
      </c>
      <c r="M185" s="62" t="str">
        <f t="shared" si="2"/>
        <v>View on Google Map</v>
      </c>
    </row>
    <row r="186" spans="1:13">
      <c r="A186" s="77">
        <v>396</v>
      </c>
      <c r="B186" s="77" t="s">
        <v>760</v>
      </c>
      <c r="C186" s="77" t="s">
        <v>451</v>
      </c>
      <c r="D186" s="77" t="s">
        <v>451</v>
      </c>
      <c r="E186" s="77" t="s">
        <v>451</v>
      </c>
      <c r="F186" s="77" t="s">
        <v>451</v>
      </c>
      <c r="G186" s="77" t="s">
        <v>460</v>
      </c>
      <c r="H186" s="77" t="s">
        <v>451</v>
      </c>
      <c r="I186" s="77" t="s">
        <v>451</v>
      </c>
      <c r="J186" s="77" t="s">
        <v>734</v>
      </c>
      <c r="K186" s="77" t="s">
        <v>451</v>
      </c>
      <c r="L186" s="77" t="s">
        <v>735</v>
      </c>
      <c r="M186" s="62" t="str">
        <f t="shared" si="2"/>
        <v>View on Google Map</v>
      </c>
    </row>
    <row r="187" spans="1:13">
      <c r="A187" s="77">
        <v>397</v>
      </c>
      <c r="B187" s="77" t="s">
        <v>761</v>
      </c>
      <c r="C187" s="77" t="s">
        <v>451</v>
      </c>
      <c r="D187" s="77" t="s">
        <v>451</v>
      </c>
      <c r="E187" s="77" t="s">
        <v>451</v>
      </c>
      <c r="F187" s="77" t="s">
        <v>451</v>
      </c>
      <c r="G187" s="77" t="s">
        <v>460</v>
      </c>
      <c r="H187" s="77" t="s">
        <v>451</v>
      </c>
      <c r="I187" s="77" t="s">
        <v>451</v>
      </c>
      <c r="J187" s="77" t="s">
        <v>734</v>
      </c>
      <c r="K187" s="77" t="s">
        <v>451</v>
      </c>
      <c r="L187" s="77" t="s">
        <v>735</v>
      </c>
      <c r="M187" s="62" t="str">
        <f t="shared" si="2"/>
        <v>View on Google Map</v>
      </c>
    </row>
    <row r="188" spans="1:13">
      <c r="A188" s="77">
        <v>408</v>
      </c>
      <c r="B188" s="77" t="s">
        <v>762</v>
      </c>
      <c r="C188" s="77" t="s">
        <v>451</v>
      </c>
      <c r="D188" s="77" t="s">
        <v>451</v>
      </c>
      <c r="E188" s="77" t="s">
        <v>451</v>
      </c>
      <c r="F188" s="77" t="s">
        <v>451</v>
      </c>
      <c r="G188" s="77" t="s">
        <v>460</v>
      </c>
      <c r="H188" s="77" t="s">
        <v>451</v>
      </c>
      <c r="I188" s="77" t="s">
        <v>451</v>
      </c>
      <c r="J188" s="77" t="s">
        <v>734</v>
      </c>
      <c r="K188" s="77" t="s">
        <v>451</v>
      </c>
      <c r="L188" s="77" t="s">
        <v>735</v>
      </c>
      <c r="M188" s="62" t="str">
        <f t="shared" si="2"/>
        <v>View on Google Map</v>
      </c>
    </row>
    <row r="189" spans="1:13">
      <c r="A189" s="77">
        <v>409</v>
      </c>
      <c r="B189" s="77" t="s">
        <v>763</v>
      </c>
      <c r="C189" s="77" t="s">
        <v>451</v>
      </c>
      <c r="D189" s="77" t="s">
        <v>451</v>
      </c>
      <c r="E189" s="77" t="s">
        <v>451</v>
      </c>
      <c r="F189" s="77" t="s">
        <v>451</v>
      </c>
      <c r="G189" s="77" t="s">
        <v>460</v>
      </c>
      <c r="H189" s="77" t="s">
        <v>451</v>
      </c>
      <c r="I189" s="77" t="s">
        <v>451</v>
      </c>
      <c r="J189" s="77" t="s">
        <v>734</v>
      </c>
      <c r="K189" s="77" t="s">
        <v>451</v>
      </c>
      <c r="L189" s="77" t="s">
        <v>735</v>
      </c>
      <c r="M189" s="62" t="str">
        <f t="shared" si="2"/>
        <v>View on Google Map</v>
      </c>
    </row>
    <row r="190" spans="1:13">
      <c r="A190" s="77">
        <v>410</v>
      </c>
      <c r="B190" s="77" t="s">
        <v>764</v>
      </c>
      <c r="C190" s="77" t="s">
        <v>451</v>
      </c>
      <c r="D190" s="77" t="s">
        <v>451</v>
      </c>
      <c r="E190" s="77" t="s">
        <v>451</v>
      </c>
      <c r="F190" s="77" t="s">
        <v>451</v>
      </c>
      <c r="G190" s="77" t="s">
        <v>460</v>
      </c>
      <c r="H190" s="77" t="s">
        <v>451</v>
      </c>
      <c r="I190" s="77" t="s">
        <v>451</v>
      </c>
      <c r="J190" s="77" t="s">
        <v>734</v>
      </c>
      <c r="K190" s="77" t="s">
        <v>451</v>
      </c>
      <c r="L190" s="77" t="s">
        <v>735</v>
      </c>
      <c r="M190" s="62" t="str">
        <f t="shared" si="2"/>
        <v>View on Google Map</v>
      </c>
    </row>
    <row r="191" spans="1:13">
      <c r="A191" s="77">
        <v>411</v>
      </c>
      <c r="B191" s="77" t="s">
        <v>765</v>
      </c>
      <c r="C191" s="77" t="s">
        <v>451</v>
      </c>
      <c r="D191" s="77" t="s">
        <v>451</v>
      </c>
      <c r="E191" s="77" t="s">
        <v>451</v>
      </c>
      <c r="F191" s="77" t="s">
        <v>451</v>
      </c>
      <c r="G191" s="77" t="s">
        <v>460</v>
      </c>
      <c r="H191" s="77" t="s">
        <v>451</v>
      </c>
      <c r="I191" s="77" t="s">
        <v>451</v>
      </c>
      <c r="J191" s="77" t="s">
        <v>734</v>
      </c>
      <c r="K191" s="77" t="s">
        <v>451</v>
      </c>
      <c r="L191" s="77" t="s">
        <v>735</v>
      </c>
      <c r="M191" s="62" t="str">
        <f t="shared" si="2"/>
        <v>View on Google Map</v>
      </c>
    </row>
    <row r="192" spans="1:13">
      <c r="A192" s="77">
        <v>412</v>
      </c>
      <c r="B192" s="77" t="s">
        <v>766</v>
      </c>
      <c r="C192" s="77" t="s">
        <v>451</v>
      </c>
      <c r="D192" s="77" t="s">
        <v>451</v>
      </c>
      <c r="E192" s="77" t="s">
        <v>451</v>
      </c>
      <c r="F192" s="77" t="s">
        <v>451</v>
      </c>
      <c r="G192" s="77" t="s">
        <v>460</v>
      </c>
      <c r="H192" s="77" t="s">
        <v>451</v>
      </c>
      <c r="I192" s="77" t="s">
        <v>451</v>
      </c>
      <c r="J192" s="77" t="s">
        <v>734</v>
      </c>
      <c r="K192" s="77" t="s">
        <v>451</v>
      </c>
      <c r="L192" s="77" t="s">
        <v>735</v>
      </c>
      <c r="M192" s="62" t="str">
        <f t="shared" si="2"/>
        <v>View on Google Map</v>
      </c>
    </row>
    <row r="193" spans="1:13">
      <c r="A193" s="77">
        <v>413</v>
      </c>
      <c r="B193" s="77" t="s">
        <v>767</v>
      </c>
      <c r="C193" s="77" t="s">
        <v>451</v>
      </c>
      <c r="D193" s="77" t="s">
        <v>451</v>
      </c>
      <c r="E193" s="77" t="s">
        <v>451</v>
      </c>
      <c r="F193" s="77" t="s">
        <v>451</v>
      </c>
      <c r="G193" s="77" t="s">
        <v>460</v>
      </c>
      <c r="H193" s="77" t="s">
        <v>451</v>
      </c>
      <c r="I193" s="77" t="s">
        <v>451</v>
      </c>
      <c r="J193" s="77" t="s">
        <v>734</v>
      </c>
      <c r="K193" s="77" t="s">
        <v>451</v>
      </c>
      <c r="L193" s="77" t="s">
        <v>735</v>
      </c>
      <c r="M193" s="62" t="str">
        <f t="shared" si="2"/>
        <v>View on Google Map</v>
      </c>
    </row>
    <row r="194" spans="1:13">
      <c r="A194" s="77">
        <v>414</v>
      </c>
      <c r="B194" s="77" t="s">
        <v>768</v>
      </c>
      <c r="C194" s="77" t="s">
        <v>451</v>
      </c>
      <c r="D194" s="77" t="s">
        <v>451</v>
      </c>
      <c r="E194" s="77" t="s">
        <v>451</v>
      </c>
      <c r="F194" s="77" t="s">
        <v>451</v>
      </c>
      <c r="G194" s="77" t="s">
        <v>460</v>
      </c>
      <c r="H194" s="77" t="s">
        <v>451</v>
      </c>
      <c r="I194" s="77" t="s">
        <v>451</v>
      </c>
      <c r="J194" s="77" t="s">
        <v>734</v>
      </c>
      <c r="K194" s="77" t="s">
        <v>451</v>
      </c>
      <c r="L194" s="77" t="s">
        <v>735</v>
      </c>
      <c r="M194" s="62" t="str">
        <f t="shared" si="2"/>
        <v>View on Google Map</v>
      </c>
    </row>
    <row r="195" spans="1:13">
      <c r="A195" s="77">
        <v>415</v>
      </c>
      <c r="B195" s="77" t="s">
        <v>769</v>
      </c>
      <c r="C195" s="77" t="s">
        <v>451</v>
      </c>
      <c r="D195" s="77">
        <v>68.498440000000002</v>
      </c>
      <c r="E195" s="77">
        <v>-149.59848</v>
      </c>
      <c r="F195" s="77">
        <v>947</v>
      </c>
      <c r="G195" s="77" t="s">
        <v>460</v>
      </c>
      <c r="H195" s="77" t="s">
        <v>770</v>
      </c>
      <c r="I195" s="77" t="s">
        <v>451</v>
      </c>
      <c r="J195" s="77" t="s">
        <v>734</v>
      </c>
      <c r="K195" s="77" t="s">
        <v>451</v>
      </c>
      <c r="L195" s="77" t="s">
        <v>735</v>
      </c>
      <c r="M195" s="62" t="str">
        <f t="shared" ref="M195:M258" si="3">HYPERLINK("http://maps.google.com/maps?q="&amp;D195&amp;","&amp;E195,"View on Google Map")</f>
        <v>View on Google Map</v>
      </c>
    </row>
    <row r="196" spans="1:13">
      <c r="A196" s="77">
        <v>402</v>
      </c>
      <c r="B196" s="77" t="s">
        <v>771</v>
      </c>
      <c r="C196" s="77" t="s">
        <v>451</v>
      </c>
      <c r="D196" s="77" t="s">
        <v>451</v>
      </c>
      <c r="E196" s="77" t="s">
        <v>451</v>
      </c>
      <c r="F196" s="77" t="s">
        <v>451</v>
      </c>
      <c r="G196" s="77" t="s">
        <v>460</v>
      </c>
      <c r="H196" s="77" t="s">
        <v>451</v>
      </c>
      <c r="I196" s="77" t="s">
        <v>451</v>
      </c>
      <c r="J196" s="77" t="s">
        <v>469</v>
      </c>
      <c r="K196" s="77" t="s">
        <v>451</v>
      </c>
      <c r="L196" s="77" t="s">
        <v>623</v>
      </c>
      <c r="M196" s="62" t="str">
        <f t="shared" si="3"/>
        <v>View on Google Map</v>
      </c>
    </row>
    <row r="197" spans="1:13">
      <c r="A197" s="77">
        <v>8</v>
      </c>
      <c r="B197" s="77" t="s">
        <v>772</v>
      </c>
      <c r="C197" s="77" t="s">
        <v>467</v>
      </c>
      <c r="D197" s="77">
        <v>69.150000000000006</v>
      </c>
      <c r="E197" s="77">
        <v>-148.83333333333334</v>
      </c>
      <c r="F197" s="77">
        <v>290</v>
      </c>
      <c r="G197" s="77" t="s">
        <v>468</v>
      </c>
      <c r="H197" s="77" t="s">
        <v>451</v>
      </c>
      <c r="I197" s="77" t="s">
        <v>451</v>
      </c>
      <c r="J197" s="77" t="s">
        <v>469</v>
      </c>
      <c r="K197" s="77" t="s">
        <v>451</v>
      </c>
      <c r="L197" s="77" t="s">
        <v>470</v>
      </c>
      <c r="M197" s="62" t="str">
        <f t="shared" si="3"/>
        <v>View on Google Map</v>
      </c>
    </row>
    <row r="198" spans="1:13">
      <c r="A198" s="77">
        <v>219</v>
      </c>
      <c r="B198" s="77" t="s">
        <v>773</v>
      </c>
      <c r="C198" s="77" t="s">
        <v>451</v>
      </c>
      <c r="D198" s="77">
        <v>69.8</v>
      </c>
      <c r="E198" s="77">
        <v>-151.83333333333334</v>
      </c>
      <c r="F198" s="77">
        <v>60.365853658536601</v>
      </c>
      <c r="G198" s="77" t="s">
        <v>460</v>
      </c>
      <c r="H198" s="77" t="s">
        <v>774</v>
      </c>
      <c r="I198" s="77" t="s">
        <v>451</v>
      </c>
      <c r="J198" s="77" t="s">
        <v>469</v>
      </c>
      <c r="K198" s="77" t="s">
        <v>451</v>
      </c>
      <c r="L198" s="77" t="s">
        <v>775</v>
      </c>
      <c r="M198" s="62" t="str">
        <f t="shared" si="3"/>
        <v>View on Google Map</v>
      </c>
    </row>
    <row r="199" spans="1:13">
      <c r="A199" s="77">
        <v>220</v>
      </c>
      <c r="B199" s="77" t="s">
        <v>776</v>
      </c>
      <c r="C199" s="77" t="s">
        <v>451</v>
      </c>
      <c r="D199" s="77">
        <v>69.75</v>
      </c>
      <c r="E199" s="77">
        <v>-151.5</v>
      </c>
      <c r="F199" s="77">
        <v>60.365853658536587</v>
      </c>
      <c r="G199" s="77" t="s">
        <v>460</v>
      </c>
      <c r="H199" s="77" t="s">
        <v>777</v>
      </c>
      <c r="I199" s="77" t="s">
        <v>451</v>
      </c>
      <c r="J199" s="77" t="s">
        <v>469</v>
      </c>
      <c r="K199" s="77" t="s">
        <v>451</v>
      </c>
      <c r="L199" s="77" t="s">
        <v>775</v>
      </c>
      <c r="M199" s="62" t="str">
        <f t="shared" si="3"/>
        <v>View on Google Map</v>
      </c>
    </row>
    <row r="200" spans="1:13">
      <c r="A200" s="77">
        <v>221</v>
      </c>
      <c r="B200" s="77" t="s">
        <v>778</v>
      </c>
      <c r="C200" s="77" t="s">
        <v>451</v>
      </c>
      <c r="D200" s="77">
        <v>69.75</v>
      </c>
      <c r="E200" s="77">
        <v>-151.5</v>
      </c>
      <c r="F200" s="77">
        <v>30.487804878048781</v>
      </c>
      <c r="G200" s="77" t="s">
        <v>460</v>
      </c>
      <c r="H200" s="77" t="s">
        <v>779</v>
      </c>
      <c r="I200" s="77" t="s">
        <v>451</v>
      </c>
      <c r="J200" s="77" t="s">
        <v>469</v>
      </c>
      <c r="K200" s="77" t="s">
        <v>451</v>
      </c>
      <c r="L200" s="77" t="s">
        <v>775</v>
      </c>
      <c r="M200" s="62" t="str">
        <f t="shared" si="3"/>
        <v>View on Google Map</v>
      </c>
    </row>
    <row r="201" spans="1:13">
      <c r="A201" s="77">
        <v>222</v>
      </c>
      <c r="B201" s="77" t="s">
        <v>780</v>
      </c>
      <c r="C201" s="77" t="s">
        <v>451</v>
      </c>
      <c r="D201" s="77">
        <v>69.7</v>
      </c>
      <c r="E201" s="77">
        <v>-151.16666666666666</v>
      </c>
      <c r="F201" s="77">
        <v>42.682926829268297</v>
      </c>
      <c r="G201" s="77" t="s">
        <v>460</v>
      </c>
      <c r="H201" s="77" t="s">
        <v>781</v>
      </c>
      <c r="I201" s="77" t="s">
        <v>451</v>
      </c>
      <c r="J201" s="77" t="s">
        <v>469</v>
      </c>
      <c r="K201" s="77" t="s">
        <v>451</v>
      </c>
      <c r="L201" s="77" t="s">
        <v>775</v>
      </c>
      <c r="M201" s="62" t="str">
        <f t="shared" si="3"/>
        <v>View on Google Map</v>
      </c>
    </row>
    <row r="202" spans="1:13">
      <c r="A202" s="77">
        <v>223</v>
      </c>
      <c r="B202" s="77" t="s">
        <v>782</v>
      </c>
      <c r="C202" s="77" t="s">
        <v>451</v>
      </c>
      <c r="D202" s="77">
        <v>69.7</v>
      </c>
      <c r="E202" s="77">
        <v>-151.16666666666666</v>
      </c>
      <c r="F202" s="77">
        <v>42.682926829268297</v>
      </c>
      <c r="G202" s="77" t="s">
        <v>460</v>
      </c>
      <c r="H202" s="77" t="s">
        <v>783</v>
      </c>
      <c r="I202" s="77" t="s">
        <v>451</v>
      </c>
      <c r="J202" s="77" t="s">
        <v>469</v>
      </c>
      <c r="K202" s="77" t="s">
        <v>451</v>
      </c>
      <c r="L202" s="77" t="s">
        <v>775</v>
      </c>
      <c r="M202" s="62" t="str">
        <f t="shared" si="3"/>
        <v>View on Google Map</v>
      </c>
    </row>
    <row r="203" spans="1:13">
      <c r="A203" s="77">
        <v>224</v>
      </c>
      <c r="B203" s="77" t="s">
        <v>784</v>
      </c>
      <c r="C203" s="77" t="s">
        <v>451</v>
      </c>
      <c r="D203" s="77">
        <v>69.516666666666666</v>
      </c>
      <c r="E203" s="77">
        <v>-150.86666666666667</v>
      </c>
      <c r="F203" s="77">
        <v>60.975609756097562</v>
      </c>
      <c r="G203" s="77" t="s">
        <v>460</v>
      </c>
      <c r="H203" s="77" t="s">
        <v>785</v>
      </c>
      <c r="I203" s="77" t="s">
        <v>451</v>
      </c>
      <c r="J203" s="77" t="s">
        <v>469</v>
      </c>
      <c r="K203" s="77" t="s">
        <v>451</v>
      </c>
      <c r="L203" s="77" t="s">
        <v>775</v>
      </c>
      <c r="M203" s="62" t="str">
        <f t="shared" si="3"/>
        <v>View on Google Map</v>
      </c>
    </row>
    <row r="204" spans="1:13">
      <c r="A204" s="77">
        <v>225</v>
      </c>
      <c r="B204" s="77" t="s">
        <v>786</v>
      </c>
      <c r="C204" s="77" t="s">
        <v>451</v>
      </c>
      <c r="D204" s="77">
        <v>69.516666666666666</v>
      </c>
      <c r="E204" s="77">
        <v>-150.86666666666667</v>
      </c>
      <c r="F204" s="77">
        <v>60.975609756097562</v>
      </c>
      <c r="G204" s="77" t="s">
        <v>460</v>
      </c>
      <c r="H204" s="77" t="s">
        <v>787</v>
      </c>
      <c r="I204" s="77" t="s">
        <v>451</v>
      </c>
      <c r="J204" s="77" t="s">
        <v>469</v>
      </c>
      <c r="K204" s="77" t="s">
        <v>451</v>
      </c>
      <c r="L204" s="77" t="s">
        <v>775</v>
      </c>
      <c r="M204" s="62" t="str">
        <f t="shared" si="3"/>
        <v>View on Google Map</v>
      </c>
    </row>
    <row r="205" spans="1:13">
      <c r="A205" s="77">
        <v>226</v>
      </c>
      <c r="B205" s="77" t="s">
        <v>788</v>
      </c>
      <c r="C205" s="77" t="s">
        <v>451</v>
      </c>
      <c r="D205" s="77">
        <v>69.25</v>
      </c>
      <c r="E205" s="77">
        <v>-150.43333333333334</v>
      </c>
      <c r="F205" s="77">
        <v>182.92682926829269</v>
      </c>
      <c r="G205" s="77" t="s">
        <v>460</v>
      </c>
      <c r="H205" s="77" t="s">
        <v>789</v>
      </c>
      <c r="I205" s="77" t="s">
        <v>451</v>
      </c>
      <c r="J205" s="77" t="s">
        <v>469</v>
      </c>
      <c r="K205" s="77" t="s">
        <v>451</v>
      </c>
      <c r="L205" s="77" t="s">
        <v>775</v>
      </c>
      <c r="M205" s="62" t="str">
        <f t="shared" si="3"/>
        <v>View on Google Map</v>
      </c>
    </row>
    <row r="206" spans="1:13">
      <c r="A206" s="77">
        <v>227</v>
      </c>
      <c r="B206" s="77" t="s">
        <v>790</v>
      </c>
      <c r="C206" s="77" t="s">
        <v>451</v>
      </c>
      <c r="D206" s="77">
        <v>69.25</v>
      </c>
      <c r="E206" s="77">
        <v>-150.43333333333334</v>
      </c>
      <c r="F206" s="77">
        <v>182.92682926829269</v>
      </c>
      <c r="G206" s="77" t="s">
        <v>460</v>
      </c>
      <c r="H206" s="77" t="s">
        <v>791</v>
      </c>
      <c r="I206" s="77" t="s">
        <v>451</v>
      </c>
      <c r="J206" s="77" t="s">
        <v>469</v>
      </c>
      <c r="K206" s="77" t="s">
        <v>451</v>
      </c>
      <c r="L206" s="77" t="s">
        <v>775</v>
      </c>
      <c r="M206" s="62" t="str">
        <f t="shared" si="3"/>
        <v>View on Google Map</v>
      </c>
    </row>
    <row r="207" spans="1:13">
      <c r="A207" s="77">
        <v>228</v>
      </c>
      <c r="B207" s="77" t="s">
        <v>792</v>
      </c>
      <c r="C207" s="77" t="s">
        <v>451</v>
      </c>
      <c r="D207" s="77">
        <v>69.25</v>
      </c>
      <c r="E207" s="77">
        <v>-151.16666666666666</v>
      </c>
      <c r="F207" s="77">
        <v>182.92682926829269</v>
      </c>
      <c r="G207" s="77" t="s">
        <v>460</v>
      </c>
      <c r="H207" s="77" t="s">
        <v>793</v>
      </c>
      <c r="I207" s="77" t="s">
        <v>451</v>
      </c>
      <c r="J207" s="77" t="s">
        <v>469</v>
      </c>
      <c r="K207" s="77" t="s">
        <v>451</v>
      </c>
      <c r="L207" s="77" t="s">
        <v>775</v>
      </c>
      <c r="M207" s="62" t="str">
        <f t="shared" si="3"/>
        <v>View on Google Map</v>
      </c>
    </row>
    <row r="208" spans="1:13">
      <c r="A208" s="77">
        <v>229</v>
      </c>
      <c r="B208" s="77" t="s">
        <v>794</v>
      </c>
      <c r="C208" s="77" t="s">
        <v>451</v>
      </c>
      <c r="D208" s="77">
        <v>69.233333333333334</v>
      </c>
      <c r="E208" s="77">
        <v>-151.63333333333333</v>
      </c>
      <c r="F208" s="77">
        <v>178.35365853658539</v>
      </c>
      <c r="G208" s="77" t="s">
        <v>460</v>
      </c>
      <c r="H208" s="77" t="s">
        <v>795</v>
      </c>
      <c r="I208" s="77" t="s">
        <v>451</v>
      </c>
      <c r="J208" s="77" t="s">
        <v>469</v>
      </c>
      <c r="K208" s="77" t="s">
        <v>451</v>
      </c>
      <c r="L208" s="77" t="s">
        <v>775</v>
      </c>
      <c r="M208" s="62" t="str">
        <f t="shared" si="3"/>
        <v>View on Google Map</v>
      </c>
    </row>
    <row r="209" spans="1:13">
      <c r="A209" s="77">
        <v>230</v>
      </c>
      <c r="B209" s="77" t="s">
        <v>796</v>
      </c>
      <c r="C209" s="77" t="s">
        <v>451</v>
      </c>
      <c r="D209" s="77">
        <v>68.900000000000006</v>
      </c>
      <c r="E209" s="77">
        <v>-151.28333333333333</v>
      </c>
      <c r="F209" s="77">
        <v>335.36585365853659</v>
      </c>
      <c r="G209" s="77" t="s">
        <v>460</v>
      </c>
      <c r="H209" s="77" t="s">
        <v>797</v>
      </c>
      <c r="I209" s="77" t="s">
        <v>451</v>
      </c>
      <c r="J209" s="77" t="s">
        <v>469</v>
      </c>
      <c r="K209" s="77" t="s">
        <v>451</v>
      </c>
      <c r="L209" s="77" t="s">
        <v>775</v>
      </c>
      <c r="M209" s="62" t="str">
        <f t="shared" si="3"/>
        <v>View on Google Map</v>
      </c>
    </row>
    <row r="210" spans="1:13">
      <c r="A210" s="77">
        <v>231</v>
      </c>
      <c r="B210" s="77" t="s">
        <v>798</v>
      </c>
      <c r="C210" s="77" t="s">
        <v>451</v>
      </c>
      <c r="D210" s="77">
        <v>68.8</v>
      </c>
      <c r="E210" s="77">
        <v>-150.80000000000001</v>
      </c>
      <c r="F210" s="77">
        <v>411.58536585365857</v>
      </c>
      <c r="G210" s="77" t="s">
        <v>460</v>
      </c>
      <c r="H210" s="77" t="s">
        <v>799</v>
      </c>
      <c r="I210" s="77" t="s">
        <v>451</v>
      </c>
      <c r="J210" s="77" t="s">
        <v>469</v>
      </c>
      <c r="K210" s="77" t="s">
        <v>451</v>
      </c>
      <c r="L210" s="77" t="s">
        <v>775</v>
      </c>
      <c r="M210" s="62" t="str">
        <f t="shared" si="3"/>
        <v>View on Google Map</v>
      </c>
    </row>
    <row r="211" spans="1:13">
      <c r="A211" s="77">
        <v>237</v>
      </c>
      <c r="B211" s="77" t="s">
        <v>800</v>
      </c>
      <c r="C211" s="77" t="s">
        <v>451</v>
      </c>
      <c r="D211" s="77">
        <v>68.783333333333331</v>
      </c>
      <c r="E211" s="77" t="s">
        <v>451</v>
      </c>
      <c r="F211" s="77">
        <v>681.40243902439033</v>
      </c>
      <c r="G211" s="77" t="s">
        <v>460</v>
      </c>
      <c r="H211" s="77" t="s">
        <v>801</v>
      </c>
      <c r="I211" s="77" t="s">
        <v>802</v>
      </c>
      <c r="J211" s="77" t="s">
        <v>469</v>
      </c>
      <c r="K211" s="77" t="s">
        <v>451</v>
      </c>
      <c r="L211" s="77" t="s">
        <v>775</v>
      </c>
      <c r="M211" s="62" t="str">
        <f t="shared" si="3"/>
        <v>View on Google Map</v>
      </c>
    </row>
    <row r="212" spans="1:13">
      <c r="A212" s="77">
        <v>238</v>
      </c>
      <c r="B212" s="77" t="s">
        <v>803</v>
      </c>
      <c r="C212" s="77" t="s">
        <v>451</v>
      </c>
      <c r="D212" s="77">
        <v>68.783333333333331</v>
      </c>
      <c r="E212" s="77" t="s">
        <v>451</v>
      </c>
      <c r="F212" s="77">
        <v>681.40243902439033</v>
      </c>
      <c r="G212" s="77" t="s">
        <v>460</v>
      </c>
      <c r="H212" s="77" t="s">
        <v>804</v>
      </c>
      <c r="I212" s="77" t="s">
        <v>802</v>
      </c>
      <c r="J212" s="77" t="s">
        <v>469</v>
      </c>
      <c r="K212" s="77" t="s">
        <v>451</v>
      </c>
      <c r="L212" s="77" t="s">
        <v>775</v>
      </c>
      <c r="M212" s="62" t="str">
        <f t="shared" si="3"/>
        <v>View on Google Map</v>
      </c>
    </row>
    <row r="213" spans="1:13">
      <c r="A213" s="77">
        <v>10</v>
      </c>
      <c r="B213" s="77" t="s">
        <v>805</v>
      </c>
      <c r="C213" s="77" t="s">
        <v>451</v>
      </c>
      <c r="D213" s="77" t="s">
        <v>451</v>
      </c>
      <c r="E213" s="77" t="s">
        <v>451</v>
      </c>
      <c r="F213" s="77">
        <v>731</v>
      </c>
      <c r="G213" s="77" t="s">
        <v>468</v>
      </c>
      <c r="H213" s="77" t="s">
        <v>451</v>
      </c>
      <c r="I213" s="77" t="s">
        <v>451</v>
      </c>
      <c r="J213" s="77" t="s">
        <v>469</v>
      </c>
      <c r="K213" s="77" t="s">
        <v>451</v>
      </c>
      <c r="L213" s="77" t="s">
        <v>451</v>
      </c>
      <c r="M213" s="62" t="str">
        <f t="shared" si="3"/>
        <v>View on Google Map</v>
      </c>
    </row>
    <row r="214" spans="1:13">
      <c r="A214" s="77">
        <v>486</v>
      </c>
      <c r="B214" s="77" t="s">
        <v>806</v>
      </c>
      <c r="C214" s="77" t="s">
        <v>451</v>
      </c>
      <c r="D214" s="77">
        <v>68.958333332999999</v>
      </c>
      <c r="E214" s="77">
        <v>-150.302016667</v>
      </c>
      <c r="F214" s="77">
        <v>382</v>
      </c>
      <c r="G214" s="77" t="s">
        <v>460</v>
      </c>
      <c r="H214" s="77" t="s">
        <v>451</v>
      </c>
      <c r="I214" s="77" t="s">
        <v>451</v>
      </c>
      <c r="J214" s="77" t="s">
        <v>504</v>
      </c>
      <c r="K214" s="77" t="s">
        <v>451</v>
      </c>
      <c r="L214" s="77" t="s">
        <v>457</v>
      </c>
      <c r="M214" s="62" t="str">
        <f t="shared" si="3"/>
        <v>View on Google Map</v>
      </c>
    </row>
    <row r="215" spans="1:13">
      <c r="A215" s="77">
        <v>388</v>
      </c>
      <c r="B215" s="77" t="s">
        <v>807</v>
      </c>
      <c r="C215" s="77" t="s">
        <v>451</v>
      </c>
      <c r="D215" s="77">
        <v>68.556340000000006</v>
      </c>
      <c r="E215" s="77">
        <v>-149.56628000000001</v>
      </c>
      <c r="F215" s="77">
        <v>801</v>
      </c>
      <c r="G215" s="77" t="s">
        <v>460</v>
      </c>
      <c r="H215" s="77" t="s">
        <v>451</v>
      </c>
      <c r="I215" s="77" t="s">
        <v>451</v>
      </c>
      <c r="J215" s="77" t="s">
        <v>469</v>
      </c>
      <c r="K215" s="77" t="s">
        <v>451</v>
      </c>
      <c r="L215" s="77" t="s">
        <v>808</v>
      </c>
      <c r="M215" s="62" t="str">
        <f t="shared" si="3"/>
        <v>View on Google Map</v>
      </c>
    </row>
    <row r="216" spans="1:13">
      <c r="A216" s="77">
        <v>450</v>
      </c>
      <c r="B216" s="77" t="s">
        <v>809</v>
      </c>
      <c r="C216" s="77" t="s">
        <v>451</v>
      </c>
      <c r="D216" s="77">
        <v>68.553610000000006</v>
      </c>
      <c r="E216" s="77">
        <v>-149.53397000000001</v>
      </c>
      <c r="F216" s="77">
        <v>820</v>
      </c>
      <c r="G216" s="77" t="s">
        <v>460</v>
      </c>
      <c r="H216" s="77" t="s">
        <v>810</v>
      </c>
      <c r="I216" s="77" t="s">
        <v>451</v>
      </c>
      <c r="J216" s="77" t="s">
        <v>461</v>
      </c>
      <c r="K216" s="77" t="s">
        <v>451</v>
      </c>
      <c r="L216" s="77" t="s">
        <v>451</v>
      </c>
      <c r="M216" s="62" t="str">
        <f t="shared" si="3"/>
        <v>View on Google Map</v>
      </c>
    </row>
    <row r="217" spans="1:13">
      <c r="A217" s="77">
        <v>451</v>
      </c>
      <c r="B217" s="77" t="s">
        <v>811</v>
      </c>
      <c r="C217" s="77" t="s">
        <v>451</v>
      </c>
      <c r="D217" s="77">
        <v>68.545929999999998</v>
      </c>
      <c r="E217" s="77">
        <v>-149.54213999999999</v>
      </c>
      <c r="F217" s="77">
        <v>852</v>
      </c>
      <c r="G217" s="77" t="s">
        <v>460</v>
      </c>
      <c r="H217" s="77" t="s">
        <v>812</v>
      </c>
      <c r="I217" s="77" t="s">
        <v>451</v>
      </c>
      <c r="J217" s="77" t="s">
        <v>461</v>
      </c>
      <c r="K217" s="77" t="s">
        <v>451</v>
      </c>
      <c r="L217" s="77" t="s">
        <v>451</v>
      </c>
      <c r="M217" s="62" t="str">
        <f t="shared" si="3"/>
        <v>View on Google Map</v>
      </c>
    </row>
    <row r="218" spans="1:13">
      <c r="A218" s="77">
        <v>531</v>
      </c>
      <c r="B218" s="77" t="s">
        <v>813</v>
      </c>
      <c r="C218" s="77" t="s">
        <v>814</v>
      </c>
      <c r="D218" s="77">
        <v>68.556769000000003</v>
      </c>
      <c r="E218" s="77">
        <v>-149.555385</v>
      </c>
      <c r="F218" s="77">
        <v>805</v>
      </c>
      <c r="G218" s="77" t="s">
        <v>468</v>
      </c>
      <c r="H218" s="77" t="s">
        <v>451</v>
      </c>
      <c r="I218" s="77" t="s">
        <v>451</v>
      </c>
      <c r="J218" s="77" t="s">
        <v>461</v>
      </c>
      <c r="K218" s="77" t="s">
        <v>451</v>
      </c>
      <c r="L218" s="77" t="s">
        <v>815</v>
      </c>
      <c r="M218" s="62" t="str">
        <f t="shared" si="3"/>
        <v>View on Google Map</v>
      </c>
    </row>
    <row r="219" spans="1:13">
      <c r="A219" s="77">
        <v>532</v>
      </c>
      <c r="B219" s="77" t="s">
        <v>816</v>
      </c>
      <c r="C219" s="77" t="s">
        <v>814</v>
      </c>
      <c r="D219" s="77">
        <v>68.556635999999997</v>
      </c>
      <c r="E219" s="77">
        <v>-149.574457</v>
      </c>
      <c r="F219" s="77">
        <v>803</v>
      </c>
      <c r="G219" s="77" t="s">
        <v>468</v>
      </c>
      <c r="H219" s="77" t="s">
        <v>451</v>
      </c>
      <c r="I219" s="77" t="s">
        <v>451</v>
      </c>
      <c r="J219" s="77" t="s">
        <v>461</v>
      </c>
      <c r="K219" s="77" t="s">
        <v>451</v>
      </c>
      <c r="L219" s="77" t="s">
        <v>815</v>
      </c>
      <c r="M219" s="62" t="str">
        <f t="shared" si="3"/>
        <v>View on Google Map</v>
      </c>
    </row>
    <row r="220" spans="1:13">
      <c r="A220" s="77">
        <v>120</v>
      </c>
      <c r="B220" s="77" t="s">
        <v>817</v>
      </c>
      <c r="C220" s="77" t="s">
        <v>451</v>
      </c>
      <c r="D220" s="77">
        <v>68.610781000000003</v>
      </c>
      <c r="E220" s="77">
        <v>-149.600742</v>
      </c>
      <c r="F220" s="77">
        <v>736</v>
      </c>
      <c r="G220" s="77" t="s">
        <v>460</v>
      </c>
      <c r="H220" s="77" t="s">
        <v>818</v>
      </c>
      <c r="I220" s="77" t="s">
        <v>451</v>
      </c>
      <c r="J220" s="77" t="s">
        <v>469</v>
      </c>
      <c r="K220" s="77">
        <v>313</v>
      </c>
      <c r="L220" s="77" t="s">
        <v>808</v>
      </c>
      <c r="M220" s="62" t="str">
        <f t="shared" si="3"/>
        <v>View on Google Map</v>
      </c>
    </row>
    <row r="221" spans="1:13">
      <c r="A221" s="77">
        <v>191</v>
      </c>
      <c r="B221" s="77" t="s">
        <v>819</v>
      </c>
      <c r="C221" s="77" t="s">
        <v>820</v>
      </c>
      <c r="D221" s="77">
        <v>68.610349999999997</v>
      </c>
      <c r="E221" s="77">
        <v>-149.59976599999999</v>
      </c>
      <c r="F221" s="77">
        <v>736</v>
      </c>
      <c r="G221" s="77" t="s">
        <v>468</v>
      </c>
      <c r="H221" s="77" t="s">
        <v>821</v>
      </c>
      <c r="I221" s="77" t="s">
        <v>822</v>
      </c>
      <c r="J221" s="77" t="s">
        <v>469</v>
      </c>
      <c r="K221" s="77" t="s">
        <v>451</v>
      </c>
      <c r="L221" s="77" t="s">
        <v>823</v>
      </c>
      <c r="M221" s="62" t="str">
        <f t="shared" si="3"/>
        <v>View on Google Map</v>
      </c>
    </row>
    <row r="222" spans="1:13">
      <c r="A222" s="77">
        <v>243</v>
      </c>
      <c r="B222" s="77" t="s">
        <v>824</v>
      </c>
      <c r="C222" s="77" t="s">
        <v>451</v>
      </c>
      <c r="D222" s="77">
        <v>68.611682999999999</v>
      </c>
      <c r="E222" s="77">
        <v>-149.599254</v>
      </c>
      <c r="F222" s="77">
        <v>736</v>
      </c>
      <c r="G222" s="77" t="s">
        <v>468</v>
      </c>
      <c r="H222" s="77" t="s">
        <v>825</v>
      </c>
      <c r="I222" s="77" t="s">
        <v>826</v>
      </c>
      <c r="J222" s="77" t="s">
        <v>469</v>
      </c>
      <c r="K222" s="77" t="s">
        <v>451</v>
      </c>
      <c r="L222" s="77" t="s">
        <v>823</v>
      </c>
      <c r="M222" s="62" t="str">
        <f t="shared" si="3"/>
        <v>View on Google Map</v>
      </c>
    </row>
    <row r="223" spans="1:13">
      <c r="A223" s="77">
        <v>111</v>
      </c>
      <c r="B223" s="77" t="s">
        <v>827</v>
      </c>
      <c r="C223" s="77" t="s">
        <v>451</v>
      </c>
      <c r="D223" s="77">
        <v>68.568713078900004</v>
      </c>
      <c r="E223" s="77">
        <v>-149.58807625</v>
      </c>
      <c r="F223" s="77">
        <v>785</v>
      </c>
      <c r="G223" s="77" t="s">
        <v>460</v>
      </c>
      <c r="H223" s="77" t="s">
        <v>828</v>
      </c>
      <c r="I223" s="77" t="s">
        <v>829</v>
      </c>
      <c r="J223" s="77" t="s">
        <v>469</v>
      </c>
      <c r="K223" s="77" t="s">
        <v>451</v>
      </c>
      <c r="L223" s="77" t="s">
        <v>808</v>
      </c>
      <c r="M223" s="62" t="str">
        <f t="shared" si="3"/>
        <v>View on Google Map</v>
      </c>
    </row>
    <row r="224" spans="1:13">
      <c r="A224" s="77">
        <v>175</v>
      </c>
      <c r="B224" s="77" t="s">
        <v>830</v>
      </c>
      <c r="C224" s="77" t="s">
        <v>451</v>
      </c>
      <c r="D224" s="77">
        <v>68.573999999999998</v>
      </c>
      <c r="E224" s="77">
        <v>-149.58356599999999</v>
      </c>
      <c r="F224" s="77">
        <v>774</v>
      </c>
      <c r="G224" s="77" t="s">
        <v>468</v>
      </c>
      <c r="H224" s="77" t="s">
        <v>831</v>
      </c>
      <c r="I224" s="77" t="s">
        <v>832</v>
      </c>
      <c r="J224" s="77" t="s">
        <v>469</v>
      </c>
      <c r="K224" s="77" t="s">
        <v>451</v>
      </c>
      <c r="L224" s="77" t="s">
        <v>823</v>
      </c>
      <c r="M224" s="62" t="str">
        <f t="shared" si="3"/>
        <v>View on Google Map</v>
      </c>
    </row>
    <row r="225" spans="1:13">
      <c r="A225" s="77">
        <v>174</v>
      </c>
      <c r="B225" s="77" t="s">
        <v>833</v>
      </c>
      <c r="C225" s="77" t="s">
        <v>451</v>
      </c>
      <c r="D225" s="77">
        <v>68.572295999999994</v>
      </c>
      <c r="E225" s="77">
        <v>-149.58101400000001</v>
      </c>
      <c r="F225" s="77">
        <v>785</v>
      </c>
      <c r="G225" s="77" t="s">
        <v>468</v>
      </c>
      <c r="H225" s="77" t="s">
        <v>834</v>
      </c>
      <c r="I225" s="77" t="s">
        <v>835</v>
      </c>
      <c r="J225" s="77" t="s">
        <v>469</v>
      </c>
      <c r="K225" s="77" t="s">
        <v>451</v>
      </c>
      <c r="L225" s="77" t="s">
        <v>823</v>
      </c>
      <c r="M225" s="62" t="str">
        <f t="shared" si="3"/>
        <v>View on Google Map</v>
      </c>
    </row>
    <row r="226" spans="1:13">
      <c r="A226" s="77">
        <v>112</v>
      </c>
      <c r="B226" s="77" t="s">
        <v>836</v>
      </c>
      <c r="C226" s="77" t="s">
        <v>451</v>
      </c>
      <c r="D226" s="77">
        <v>68.571319563299994</v>
      </c>
      <c r="E226" s="77">
        <v>-149.56588161799999</v>
      </c>
      <c r="F226" s="77">
        <v>785</v>
      </c>
      <c r="G226" s="77" t="s">
        <v>460</v>
      </c>
      <c r="H226" s="77" t="s">
        <v>837</v>
      </c>
      <c r="I226" s="77" t="s">
        <v>838</v>
      </c>
      <c r="J226" s="77" t="s">
        <v>469</v>
      </c>
      <c r="K226" s="77" t="s">
        <v>451</v>
      </c>
      <c r="L226" s="77" t="s">
        <v>808</v>
      </c>
      <c r="M226" s="62" t="str">
        <f t="shared" si="3"/>
        <v>View on Google Map</v>
      </c>
    </row>
    <row r="227" spans="1:13">
      <c r="A227" s="77">
        <v>176</v>
      </c>
      <c r="B227" s="77" t="s">
        <v>839</v>
      </c>
      <c r="C227" s="77" t="s">
        <v>451</v>
      </c>
      <c r="D227" s="77">
        <v>68.574783330000002</v>
      </c>
      <c r="E227" s="77">
        <v>-149.58205000000001</v>
      </c>
      <c r="F227" s="77">
        <v>774</v>
      </c>
      <c r="G227" s="77" t="s">
        <v>468</v>
      </c>
      <c r="H227" s="77" t="s">
        <v>840</v>
      </c>
      <c r="I227" s="77" t="s">
        <v>841</v>
      </c>
      <c r="J227" s="77" t="s">
        <v>469</v>
      </c>
      <c r="K227" s="77" t="s">
        <v>451</v>
      </c>
      <c r="L227" s="77" t="s">
        <v>823</v>
      </c>
      <c r="M227" s="62" t="str">
        <f t="shared" si="3"/>
        <v>View on Google Map</v>
      </c>
    </row>
    <row r="228" spans="1:13">
      <c r="A228" s="77">
        <v>173</v>
      </c>
      <c r="B228" s="77" t="s">
        <v>842</v>
      </c>
      <c r="C228" s="77" t="s">
        <v>451</v>
      </c>
      <c r="D228" s="77">
        <v>68.572546000000003</v>
      </c>
      <c r="E228" s="77">
        <v>-149.570268</v>
      </c>
      <c r="F228" s="77">
        <v>785</v>
      </c>
      <c r="G228" s="77" t="s">
        <v>468</v>
      </c>
      <c r="H228" s="77" t="s">
        <v>843</v>
      </c>
      <c r="I228" s="77" t="s">
        <v>844</v>
      </c>
      <c r="J228" s="77" t="s">
        <v>469</v>
      </c>
      <c r="K228" s="77" t="s">
        <v>451</v>
      </c>
      <c r="L228" s="77" t="s">
        <v>823</v>
      </c>
      <c r="M228" s="62" t="str">
        <f t="shared" si="3"/>
        <v>View on Google Map</v>
      </c>
    </row>
    <row r="229" spans="1:13">
      <c r="A229" s="77">
        <v>113</v>
      </c>
      <c r="B229" s="77" t="s">
        <v>845</v>
      </c>
      <c r="C229" s="77" t="s">
        <v>451</v>
      </c>
      <c r="D229" s="77">
        <v>68.575536630100004</v>
      </c>
      <c r="E229" s="77">
        <v>-149.583644456</v>
      </c>
      <c r="F229" s="77">
        <v>774</v>
      </c>
      <c r="G229" s="77" t="s">
        <v>460</v>
      </c>
      <c r="H229" s="77" t="s">
        <v>846</v>
      </c>
      <c r="I229" s="77" t="s">
        <v>847</v>
      </c>
      <c r="J229" s="77" t="s">
        <v>469</v>
      </c>
      <c r="K229" s="77" t="s">
        <v>451</v>
      </c>
      <c r="L229" s="77" t="s">
        <v>808</v>
      </c>
      <c r="M229" s="62" t="str">
        <f t="shared" si="3"/>
        <v>View on Google Map</v>
      </c>
    </row>
    <row r="230" spans="1:13">
      <c r="A230" s="77">
        <v>177</v>
      </c>
      <c r="B230" s="77" t="s">
        <v>848</v>
      </c>
      <c r="C230" s="77" t="s">
        <v>451</v>
      </c>
      <c r="D230" s="77">
        <v>68.577539999999999</v>
      </c>
      <c r="E230" s="77">
        <v>-149.58200299999999</v>
      </c>
      <c r="F230" s="77">
        <v>774</v>
      </c>
      <c r="G230" s="77" t="s">
        <v>468</v>
      </c>
      <c r="H230" s="77" t="s">
        <v>849</v>
      </c>
      <c r="I230" s="77" t="s">
        <v>850</v>
      </c>
      <c r="J230" s="77" t="s">
        <v>469</v>
      </c>
      <c r="K230" s="77" t="s">
        <v>451</v>
      </c>
      <c r="L230" s="77" t="s">
        <v>823</v>
      </c>
      <c r="M230" s="62" t="str">
        <f t="shared" si="3"/>
        <v>View on Google Map</v>
      </c>
    </row>
    <row r="231" spans="1:13">
      <c r="A231" s="77">
        <v>114</v>
      </c>
      <c r="B231" s="77" t="s">
        <v>851</v>
      </c>
      <c r="C231" s="77" t="s">
        <v>451</v>
      </c>
      <c r="D231" s="77">
        <v>68.579567150000003</v>
      </c>
      <c r="E231" s="77">
        <v>-149.58405938000001</v>
      </c>
      <c r="F231" s="77">
        <v>770</v>
      </c>
      <c r="G231" s="77" t="s">
        <v>460</v>
      </c>
      <c r="H231" s="77" t="s">
        <v>852</v>
      </c>
      <c r="I231" s="77" t="s">
        <v>853</v>
      </c>
      <c r="J231" s="77" t="s">
        <v>469</v>
      </c>
      <c r="K231" s="77" t="s">
        <v>451</v>
      </c>
      <c r="L231" s="77" t="s">
        <v>808</v>
      </c>
      <c r="M231" s="62" t="str">
        <f t="shared" si="3"/>
        <v>View on Google Map</v>
      </c>
    </row>
    <row r="232" spans="1:13">
      <c r="A232" s="77">
        <v>179</v>
      </c>
      <c r="B232" s="77" t="s">
        <v>854</v>
      </c>
      <c r="C232" s="77" t="s">
        <v>451</v>
      </c>
      <c r="D232" s="77">
        <v>68.584233330000004</v>
      </c>
      <c r="E232" s="77">
        <v>-149.58359999999999</v>
      </c>
      <c r="F232" s="77">
        <v>770</v>
      </c>
      <c r="G232" s="77" t="s">
        <v>468</v>
      </c>
      <c r="H232" s="77" t="s">
        <v>855</v>
      </c>
      <c r="I232" s="77" t="s">
        <v>856</v>
      </c>
      <c r="J232" s="77" t="s">
        <v>469</v>
      </c>
      <c r="K232" s="77" t="s">
        <v>451</v>
      </c>
      <c r="L232" s="77" t="s">
        <v>823</v>
      </c>
      <c r="M232" s="62" t="str">
        <f t="shared" si="3"/>
        <v>View on Google Map</v>
      </c>
    </row>
    <row r="233" spans="1:13">
      <c r="A233" s="77">
        <v>178</v>
      </c>
      <c r="B233" s="77" t="s">
        <v>857</v>
      </c>
      <c r="C233" s="77" t="s">
        <v>451</v>
      </c>
      <c r="D233" s="77">
        <v>68.581429999999997</v>
      </c>
      <c r="E233" s="77">
        <v>-149.58609999999999</v>
      </c>
      <c r="F233" s="77">
        <v>770</v>
      </c>
      <c r="G233" s="77" t="s">
        <v>468</v>
      </c>
      <c r="H233" s="77" t="s">
        <v>858</v>
      </c>
      <c r="I233" s="77" t="s">
        <v>859</v>
      </c>
      <c r="J233" s="77" t="s">
        <v>469</v>
      </c>
      <c r="K233" s="77" t="s">
        <v>451</v>
      </c>
      <c r="L233" s="77" t="s">
        <v>823</v>
      </c>
      <c r="M233" s="62" t="str">
        <f t="shared" si="3"/>
        <v>View on Google Map</v>
      </c>
    </row>
    <row r="234" spans="1:13">
      <c r="A234" s="77">
        <v>115</v>
      </c>
      <c r="B234" s="77" t="s">
        <v>860</v>
      </c>
      <c r="C234" s="77" t="s">
        <v>451</v>
      </c>
      <c r="D234" s="77">
        <v>68.587387439099999</v>
      </c>
      <c r="E234" s="77">
        <v>-149.589625877</v>
      </c>
      <c r="F234" s="77">
        <v>767</v>
      </c>
      <c r="G234" s="77" t="s">
        <v>460</v>
      </c>
      <c r="H234" s="77" t="s">
        <v>861</v>
      </c>
      <c r="I234" s="77" t="s">
        <v>862</v>
      </c>
      <c r="J234" s="77" t="s">
        <v>469</v>
      </c>
      <c r="K234" s="77" t="s">
        <v>451</v>
      </c>
      <c r="L234" s="77" t="s">
        <v>808</v>
      </c>
      <c r="M234" s="62" t="str">
        <f t="shared" si="3"/>
        <v>View on Google Map</v>
      </c>
    </row>
    <row r="235" spans="1:13">
      <c r="A235" s="77">
        <v>181</v>
      </c>
      <c r="B235" s="77" t="s">
        <v>863</v>
      </c>
      <c r="C235" s="77" t="s">
        <v>451</v>
      </c>
      <c r="D235" s="77">
        <v>68.594916670000003</v>
      </c>
      <c r="E235" s="77">
        <v>-149.58631600000001</v>
      </c>
      <c r="F235" s="77">
        <v>754</v>
      </c>
      <c r="G235" s="77" t="s">
        <v>468</v>
      </c>
      <c r="H235" s="77" t="s">
        <v>864</v>
      </c>
      <c r="I235" s="77" t="s">
        <v>865</v>
      </c>
      <c r="J235" s="77" t="s">
        <v>469</v>
      </c>
      <c r="K235" s="77" t="s">
        <v>451</v>
      </c>
      <c r="L235" s="77" t="s">
        <v>823</v>
      </c>
      <c r="M235" s="62" t="str">
        <f t="shared" si="3"/>
        <v>View on Google Map</v>
      </c>
    </row>
    <row r="236" spans="1:13">
      <c r="A236" s="77">
        <v>180</v>
      </c>
      <c r="B236" s="77" t="s">
        <v>866</v>
      </c>
      <c r="C236" s="77" t="s">
        <v>451</v>
      </c>
      <c r="D236" s="77">
        <v>68.589087000000006</v>
      </c>
      <c r="E236" s="77">
        <v>-149.58921900000001</v>
      </c>
      <c r="F236" s="77">
        <v>767</v>
      </c>
      <c r="G236" s="77" t="s">
        <v>468</v>
      </c>
      <c r="H236" s="77" t="s">
        <v>867</v>
      </c>
      <c r="I236" s="77" t="s">
        <v>868</v>
      </c>
      <c r="J236" s="77" t="s">
        <v>469</v>
      </c>
      <c r="K236" s="77" t="s">
        <v>451</v>
      </c>
      <c r="L236" s="77" t="s">
        <v>823</v>
      </c>
      <c r="M236" s="62" t="str">
        <f t="shared" si="3"/>
        <v>View on Google Map</v>
      </c>
    </row>
    <row r="237" spans="1:13">
      <c r="A237" s="77">
        <v>116</v>
      </c>
      <c r="B237" s="77" t="s">
        <v>869</v>
      </c>
      <c r="C237" s="77" t="s">
        <v>451</v>
      </c>
      <c r="D237" s="77">
        <v>68.596592403900004</v>
      </c>
      <c r="E237" s="77">
        <v>-149.59264335</v>
      </c>
      <c r="F237" s="77">
        <v>754</v>
      </c>
      <c r="G237" s="77" t="s">
        <v>460</v>
      </c>
      <c r="H237" s="77" t="s">
        <v>870</v>
      </c>
      <c r="I237" s="77" t="s">
        <v>871</v>
      </c>
      <c r="J237" s="77" t="s">
        <v>469</v>
      </c>
      <c r="K237" s="77" t="s">
        <v>451</v>
      </c>
      <c r="L237" s="77" t="s">
        <v>808</v>
      </c>
      <c r="M237" s="62" t="str">
        <f t="shared" si="3"/>
        <v>View on Google Map</v>
      </c>
    </row>
    <row r="238" spans="1:13">
      <c r="A238" s="77">
        <v>431</v>
      </c>
      <c r="B238" s="77" t="s">
        <v>872</v>
      </c>
      <c r="C238" s="77" t="s">
        <v>451</v>
      </c>
      <c r="D238" s="77">
        <v>68.582061999999993</v>
      </c>
      <c r="E238" s="77">
        <v>-149.62293199999999</v>
      </c>
      <c r="F238" s="77">
        <v>806</v>
      </c>
      <c r="G238" s="77" t="s">
        <v>460</v>
      </c>
      <c r="H238" s="77" t="s">
        <v>873</v>
      </c>
      <c r="I238" s="77" t="s">
        <v>874</v>
      </c>
      <c r="J238" s="77" t="s">
        <v>469</v>
      </c>
      <c r="K238" s="77" t="s">
        <v>451</v>
      </c>
      <c r="L238" s="77" t="s">
        <v>808</v>
      </c>
      <c r="M238" s="62" t="str">
        <f t="shared" si="3"/>
        <v>View on Google Map</v>
      </c>
    </row>
    <row r="239" spans="1:13">
      <c r="A239" s="77">
        <v>444</v>
      </c>
      <c r="B239" s="77" t="s">
        <v>875</v>
      </c>
      <c r="C239" s="77" t="s">
        <v>451</v>
      </c>
      <c r="D239" s="77">
        <v>68.578643</v>
      </c>
      <c r="E239" s="77">
        <v>-149.62110200000001</v>
      </c>
      <c r="F239" s="77">
        <v>808</v>
      </c>
      <c r="G239" s="77" t="s">
        <v>468</v>
      </c>
      <c r="H239" s="77" t="s">
        <v>876</v>
      </c>
      <c r="I239" s="77" t="s">
        <v>877</v>
      </c>
      <c r="J239" s="77" t="s">
        <v>469</v>
      </c>
      <c r="K239" s="77" t="s">
        <v>451</v>
      </c>
      <c r="L239" s="77" t="s">
        <v>823</v>
      </c>
      <c r="M239" s="62" t="str">
        <f t="shared" si="3"/>
        <v>View on Google Map</v>
      </c>
    </row>
    <row r="240" spans="1:13">
      <c r="A240" s="77">
        <v>535</v>
      </c>
      <c r="B240" s="77" t="s">
        <v>878</v>
      </c>
      <c r="C240" s="77" t="s">
        <v>879</v>
      </c>
      <c r="D240" s="77">
        <v>68.585839000000007</v>
      </c>
      <c r="E240" s="77">
        <v>-149.62222299999999</v>
      </c>
      <c r="F240" s="77">
        <v>805</v>
      </c>
      <c r="G240" s="77" t="s">
        <v>468</v>
      </c>
      <c r="H240" s="77" t="s">
        <v>451</v>
      </c>
      <c r="I240" s="77" t="s">
        <v>451</v>
      </c>
      <c r="J240" s="77" t="s">
        <v>461</v>
      </c>
      <c r="K240" s="77" t="s">
        <v>451</v>
      </c>
      <c r="L240" s="77" t="s">
        <v>880</v>
      </c>
      <c r="M240" s="62" t="str">
        <f t="shared" si="3"/>
        <v>View on Google Map</v>
      </c>
    </row>
    <row r="241" spans="1:13">
      <c r="A241" s="77">
        <v>536</v>
      </c>
      <c r="B241" s="77" t="s">
        <v>881</v>
      </c>
      <c r="C241" s="77" t="s">
        <v>879</v>
      </c>
      <c r="D241" s="77">
        <v>68.591329999999999</v>
      </c>
      <c r="E241" s="77">
        <v>-149.61154199999999</v>
      </c>
      <c r="F241" s="77">
        <v>775</v>
      </c>
      <c r="G241" s="77" t="s">
        <v>468</v>
      </c>
      <c r="H241" s="77" t="s">
        <v>451</v>
      </c>
      <c r="I241" s="77" t="s">
        <v>451</v>
      </c>
      <c r="J241" s="77" t="s">
        <v>461</v>
      </c>
      <c r="K241" s="77" t="s">
        <v>451</v>
      </c>
      <c r="L241" s="77" t="s">
        <v>880</v>
      </c>
      <c r="M241" s="62" t="str">
        <f t="shared" si="3"/>
        <v>View on Google Map</v>
      </c>
    </row>
    <row r="242" spans="1:13">
      <c r="A242" s="77">
        <v>445</v>
      </c>
      <c r="B242" s="77" t="s">
        <v>882</v>
      </c>
      <c r="C242" s="77" t="s">
        <v>451</v>
      </c>
      <c r="D242" s="77">
        <v>68.583569999999995</v>
      </c>
      <c r="E242" s="77">
        <v>-149.62384</v>
      </c>
      <c r="F242" s="77">
        <v>808</v>
      </c>
      <c r="G242" s="77" t="s">
        <v>468</v>
      </c>
      <c r="H242" s="77" t="s">
        <v>883</v>
      </c>
      <c r="I242" s="77" t="s">
        <v>884</v>
      </c>
      <c r="J242" s="77" t="s">
        <v>469</v>
      </c>
      <c r="K242" s="77" t="s">
        <v>451</v>
      </c>
      <c r="L242" s="77" t="s">
        <v>823</v>
      </c>
      <c r="M242" s="62" t="str">
        <f t="shared" si="3"/>
        <v>View on Google Map</v>
      </c>
    </row>
    <row r="243" spans="1:13">
      <c r="A243" s="77">
        <v>182</v>
      </c>
      <c r="B243" s="77" t="s">
        <v>885</v>
      </c>
      <c r="C243" s="77" t="s">
        <v>451</v>
      </c>
      <c r="D243" s="77">
        <v>68.596883329999997</v>
      </c>
      <c r="E243" s="77">
        <v>-149.60124999999999</v>
      </c>
      <c r="F243" s="77">
        <v>754</v>
      </c>
      <c r="G243" s="77" t="s">
        <v>468</v>
      </c>
      <c r="H243" s="77" t="s">
        <v>886</v>
      </c>
      <c r="I243" s="77" t="s">
        <v>887</v>
      </c>
      <c r="J243" s="77" t="s">
        <v>469</v>
      </c>
      <c r="K243" s="77" t="s">
        <v>451</v>
      </c>
      <c r="L243" s="77" t="s">
        <v>823</v>
      </c>
      <c r="M243" s="62" t="str">
        <f t="shared" si="3"/>
        <v>View on Google Map</v>
      </c>
    </row>
    <row r="244" spans="1:13">
      <c r="A244" s="77">
        <v>183</v>
      </c>
      <c r="B244" s="77" t="s">
        <v>888</v>
      </c>
      <c r="C244" s="77" t="s">
        <v>451</v>
      </c>
      <c r="D244" s="77">
        <v>68.598684000000006</v>
      </c>
      <c r="E244" s="77">
        <v>-149.599853</v>
      </c>
      <c r="F244" s="77">
        <v>754</v>
      </c>
      <c r="G244" s="77" t="s">
        <v>468</v>
      </c>
      <c r="H244" s="77" t="s">
        <v>889</v>
      </c>
      <c r="I244" s="77" t="s">
        <v>890</v>
      </c>
      <c r="J244" s="77" t="s">
        <v>469</v>
      </c>
      <c r="K244" s="77" t="s">
        <v>451</v>
      </c>
      <c r="L244" s="77" t="s">
        <v>823</v>
      </c>
      <c r="M244" s="62" t="str">
        <f t="shared" si="3"/>
        <v>View on Google Map</v>
      </c>
    </row>
    <row r="245" spans="1:13">
      <c r="A245" s="77">
        <v>117</v>
      </c>
      <c r="B245" s="77" t="s">
        <v>891</v>
      </c>
      <c r="C245" s="77" t="s">
        <v>451</v>
      </c>
      <c r="D245" s="77">
        <v>68.600874798199996</v>
      </c>
      <c r="E245" s="77">
        <v>-149.596582063</v>
      </c>
      <c r="F245" s="77">
        <v>742</v>
      </c>
      <c r="G245" s="77" t="s">
        <v>460</v>
      </c>
      <c r="H245" s="77" t="s">
        <v>892</v>
      </c>
      <c r="I245" s="77" t="s">
        <v>893</v>
      </c>
      <c r="J245" s="77" t="s">
        <v>469</v>
      </c>
      <c r="K245" s="77" t="s">
        <v>451</v>
      </c>
      <c r="L245" s="77" t="s">
        <v>808</v>
      </c>
      <c r="M245" s="62" t="str">
        <f t="shared" si="3"/>
        <v>View on Google Map</v>
      </c>
    </row>
    <row r="246" spans="1:13">
      <c r="A246" s="77">
        <v>187</v>
      </c>
      <c r="B246" s="77" t="s">
        <v>894</v>
      </c>
      <c r="C246" s="77" t="s">
        <v>451</v>
      </c>
      <c r="D246" s="77">
        <v>68.618183329999994</v>
      </c>
      <c r="E246" s="77">
        <v>-149.596766</v>
      </c>
      <c r="F246" s="77">
        <v>728</v>
      </c>
      <c r="G246" s="77" t="s">
        <v>468</v>
      </c>
      <c r="H246" s="77" t="s">
        <v>895</v>
      </c>
      <c r="I246" s="77" t="s">
        <v>896</v>
      </c>
      <c r="J246" s="77" t="s">
        <v>469</v>
      </c>
      <c r="K246" s="77" t="s">
        <v>451</v>
      </c>
      <c r="L246" s="77" t="s">
        <v>823</v>
      </c>
      <c r="M246" s="62" t="str">
        <f t="shared" si="3"/>
        <v>View on Google Map</v>
      </c>
    </row>
    <row r="247" spans="1:13">
      <c r="A247" s="77">
        <v>184</v>
      </c>
      <c r="B247" s="77" t="s">
        <v>897</v>
      </c>
      <c r="C247" s="77" t="s">
        <v>451</v>
      </c>
      <c r="D247" s="77">
        <v>68.601830000000007</v>
      </c>
      <c r="E247" s="77">
        <v>-149.59671299999999</v>
      </c>
      <c r="F247" s="77">
        <v>742</v>
      </c>
      <c r="G247" s="77" t="s">
        <v>468</v>
      </c>
      <c r="H247" s="77" t="s">
        <v>898</v>
      </c>
      <c r="I247" s="77" t="s">
        <v>899</v>
      </c>
      <c r="J247" s="77" t="s">
        <v>469</v>
      </c>
      <c r="K247" s="77" t="s">
        <v>451</v>
      </c>
      <c r="L247" s="77" t="s">
        <v>823</v>
      </c>
      <c r="M247" s="62" t="str">
        <f t="shared" si="3"/>
        <v>View on Google Map</v>
      </c>
    </row>
    <row r="248" spans="1:13">
      <c r="A248" s="77">
        <v>118</v>
      </c>
      <c r="B248" s="77" t="s">
        <v>900</v>
      </c>
      <c r="C248" s="77" t="s">
        <v>451</v>
      </c>
      <c r="D248" s="77">
        <v>68.6101575207</v>
      </c>
      <c r="E248" s="77">
        <v>-149.582211513</v>
      </c>
      <c r="F248" s="77">
        <v>744</v>
      </c>
      <c r="G248" s="77" t="s">
        <v>460</v>
      </c>
      <c r="H248" s="77" t="s">
        <v>901</v>
      </c>
      <c r="I248" s="77" t="s">
        <v>902</v>
      </c>
      <c r="J248" s="77" t="s">
        <v>469</v>
      </c>
      <c r="K248" s="77" t="s">
        <v>451</v>
      </c>
      <c r="L248" s="77" t="s">
        <v>808</v>
      </c>
      <c r="M248" s="62" t="str">
        <f t="shared" si="3"/>
        <v>View on Google Map</v>
      </c>
    </row>
    <row r="249" spans="1:13">
      <c r="A249" s="77">
        <v>172</v>
      </c>
      <c r="B249" s="77" t="s">
        <v>903</v>
      </c>
      <c r="C249" s="77" t="s">
        <v>451</v>
      </c>
      <c r="D249" s="77">
        <v>68.573666666666668</v>
      </c>
      <c r="E249" s="77">
        <v>-149.53716666666699</v>
      </c>
      <c r="F249" s="77">
        <v>808</v>
      </c>
      <c r="G249" s="77" t="s">
        <v>468</v>
      </c>
      <c r="H249" s="77" t="s">
        <v>904</v>
      </c>
      <c r="I249" s="77" t="s">
        <v>905</v>
      </c>
      <c r="J249" s="77" t="s">
        <v>469</v>
      </c>
      <c r="K249" s="77" t="s">
        <v>451</v>
      </c>
      <c r="L249" s="77" t="s">
        <v>823</v>
      </c>
      <c r="M249" s="62" t="str">
        <f t="shared" si="3"/>
        <v>View on Google Map</v>
      </c>
    </row>
    <row r="250" spans="1:13">
      <c r="A250" s="77">
        <v>533</v>
      </c>
      <c r="B250" s="77" t="s">
        <v>906</v>
      </c>
      <c r="C250" s="77" t="s">
        <v>879</v>
      </c>
      <c r="D250" s="77">
        <v>68.599999999999994</v>
      </c>
      <c r="E250" s="77">
        <v>-149.57599999999999</v>
      </c>
      <c r="F250" s="77">
        <v>762</v>
      </c>
      <c r="G250" s="77" t="s">
        <v>468</v>
      </c>
      <c r="H250" s="77" t="s">
        <v>451</v>
      </c>
      <c r="I250" s="77" t="s">
        <v>451</v>
      </c>
      <c r="J250" s="77" t="s">
        <v>461</v>
      </c>
      <c r="K250" s="77" t="s">
        <v>451</v>
      </c>
      <c r="L250" s="77" t="s">
        <v>880</v>
      </c>
      <c r="M250" s="62" t="str">
        <f t="shared" si="3"/>
        <v>View on Google Map</v>
      </c>
    </row>
    <row r="251" spans="1:13">
      <c r="A251" s="77">
        <v>534</v>
      </c>
      <c r="B251" s="77" t="s">
        <v>907</v>
      </c>
      <c r="C251" s="77" t="s">
        <v>879</v>
      </c>
      <c r="D251" s="77">
        <v>68.601493000000005</v>
      </c>
      <c r="E251" s="77">
        <v>-149.579071</v>
      </c>
      <c r="F251" s="77">
        <v>760</v>
      </c>
      <c r="G251" s="77" t="s">
        <v>468</v>
      </c>
      <c r="H251" s="77" t="s">
        <v>451</v>
      </c>
      <c r="I251" s="77" t="s">
        <v>451</v>
      </c>
      <c r="J251" s="77" t="s">
        <v>461</v>
      </c>
      <c r="K251" s="77" t="s">
        <v>451</v>
      </c>
      <c r="L251" s="77" t="s">
        <v>880</v>
      </c>
      <c r="M251" s="62" t="str">
        <f t="shared" si="3"/>
        <v>View on Google Map</v>
      </c>
    </row>
    <row r="252" spans="1:13">
      <c r="A252" s="77">
        <v>185</v>
      </c>
      <c r="B252" s="77" t="s">
        <v>908</v>
      </c>
      <c r="C252" s="77" t="s">
        <v>451</v>
      </c>
      <c r="D252" s="77">
        <v>68.60853333</v>
      </c>
      <c r="E252" s="77">
        <v>-149.58763300000001</v>
      </c>
      <c r="F252" s="77">
        <v>744</v>
      </c>
      <c r="G252" s="77" t="s">
        <v>468</v>
      </c>
      <c r="H252" s="77" t="s">
        <v>909</v>
      </c>
      <c r="I252" s="77" t="s">
        <v>910</v>
      </c>
      <c r="J252" s="77" t="s">
        <v>469</v>
      </c>
      <c r="K252" s="77" t="s">
        <v>451</v>
      </c>
      <c r="L252" s="77" t="s">
        <v>823</v>
      </c>
      <c r="M252" s="62" t="str">
        <f t="shared" si="3"/>
        <v>View on Google Map</v>
      </c>
    </row>
    <row r="253" spans="1:13">
      <c r="A253" s="77">
        <v>547</v>
      </c>
      <c r="B253" s="77" t="s">
        <v>911</v>
      </c>
      <c r="C253" s="77" t="s">
        <v>912</v>
      </c>
      <c r="D253" s="77">
        <v>68.611012000000002</v>
      </c>
      <c r="E253" s="77">
        <v>-149.57365200000001</v>
      </c>
      <c r="F253" s="77">
        <v>744</v>
      </c>
      <c r="G253" s="77" t="s">
        <v>468</v>
      </c>
      <c r="H253" s="77" t="s">
        <v>451</v>
      </c>
      <c r="I253" s="77" t="s">
        <v>451</v>
      </c>
      <c r="J253" s="77" t="s">
        <v>913</v>
      </c>
      <c r="K253" s="77" t="s">
        <v>451</v>
      </c>
      <c r="L253" s="77" t="s">
        <v>914</v>
      </c>
      <c r="M253" s="62" t="str">
        <f t="shared" si="3"/>
        <v>View on Google Map</v>
      </c>
    </row>
    <row r="254" spans="1:13">
      <c r="A254" s="77">
        <v>548</v>
      </c>
      <c r="B254" s="77" t="s">
        <v>915</v>
      </c>
      <c r="C254" s="77" t="s">
        <v>912</v>
      </c>
      <c r="D254" s="77">
        <v>68.612117999999995</v>
      </c>
      <c r="E254" s="77">
        <v>-149.576359</v>
      </c>
      <c r="F254" s="77">
        <v>744</v>
      </c>
      <c r="G254" s="77" t="s">
        <v>468</v>
      </c>
      <c r="H254" s="77" t="s">
        <v>451</v>
      </c>
      <c r="I254" s="77" t="s">
        <v>451</v>
      </c>
      <c r="J254" s="77" t="s">
        <v>913</v>
      </c>
      <c r="K254" s="77" t="s">
        <v>451</v>
      </c>
      <c r="L254" s="77" t="s">
        <v>914</v>
      </c>
      <c r="M254" s="62" t="str">
        <f t="shared" si="3"/>
        <v>View on Google Map</v>
      </c>
    </row>
    <row r="255" spans="1:13">
      <c r="A255" s="77">
        <v>546</v>
      </c>
      <c r="B255" s="77" t="s">
        <v>916</v>
      </c>
      <c r="C255" s="77" t="s">
        <v>912</v>
      </c>
      <c r="D255" s="77">
        <v>68.608949999999993</v>
      </c>
      <c r="E255" s="77">
        <v>-149.57907399999999</v>
      </c>
      <c r="F255" s="77">
        <v>744</v>
      </c>
      <c r="G255" s="77" t="s">
        <v>468</v>
      </c>
      <c r="H255" s="77" t="s">
        <v>451</v>
      </c>
      <c r="I255" s="77" t="s">
        <v>451</v>
      </c>
      <c r="J255" s="77" t="s">
        <v>913</v>
      </c>
      <c r="K255" s="77" t="s">
        <v>451</v>
      </c>
      <c r="L255" s="77" t="s">
        <v>914</v>
      </c>
      <c r="M255" s="62" t="str">
        <f t="shared" si="3"/>
        <v>View on Google Map</v>
      </c>
    </row>
    <row r="256" spans="1:13">
      <c r="A256" s="77">
        <v>545</v>
      </c>
      <c r="B256" s="77" t="s">
        <v>917</v>
      </c>
      <c r="C256" s="77" t="s">
        <v>912</v>
      </c>
      <c r="D256" s="77">
        <v>68.609307999999999</v>
      </c>
      <c r="E256" s="77">
        <v>-149.57375200000001</v>
      </c>
      <c r="F256" s="77">
        <v>744</v>
      </c>
      <c r="G256" s="77" t="s">
        <v>468</v>
      </c>
      <c r="H256" s="77" t="s">
        <v>451</v>
      </c>
      <c r="I256" s="77" t="s">
        <v>451</v>
      </c>
      <c r="J256" s="77" t="s">
        <v>913</v>
      </c>
      <c r="K256" s="77" t="s">
        <v>451</v>
      </c>
      <c r="L256" s="77" t="s">
        <v>914</v>
      </c>
      <c r="M256" s="62" t="str">
        <f t="shared" si="3"/>
        <v>View on Google Map</v>
      </c>
    </row>
    <row r="257" spans="1:13">
      <c r="A257" s="77">
        <v>549</v>
      </c>
      <c r="B257" s="77" t="s">
        <v>918</v>
      </c>
      <c r="C257" s="77" t="s">
        <v>451</v>
      </c>
      <c r="D257" s="77" t="s">
        <v>451</v>
      </c>
      <c r="E257" s="77" t="s">
        <v>451</v>
      </c>
      <c r="F257" s="77" t="s">
        <v>451</v>
      </c>
      <c r="G257" s="77" t="s">
        <v>468</v>
      </c>
      <c r="H257" s="77" t="s">
        <v>451</v>
      </c>
      <c r="I257" s="77" t="s">
        <v>451</v>
      </c>
      <c r="J257" s="77" t="s">
        <v>461</v>
      </c>
      <c r="K257" s="77" t="s">
        <v>451</v>
      </c>
      <c r="L257" s="77" t="s">
        <v>919</v>
      </c>
      <c r="M257" s="62" t="str">
        <f t="shared" si="3"/>
        <v>View on Google Map</v>
      </c>
    </row>
    <row r="258" spans="1:13">
      <c r="A258" s="77">
        <v>188</v>
      </c>
      <c r="B258" s="77" t="s">
        <v>920</v>
      </c>
      <c r="C258" s="77" t="s">
        <v>451</v>
      </c>
      <c r="D258" s="77">
        <v>68.61838333</v>
      </c>
      <c r="E258" s="77">
        <v>-149.59649999999999</v>
      </c>
      <c r="F258" s="77">
        <v>728</v>
      </c>
      <c r="G258" s="77" t="s">
        <v>468</v>
      </c>
      <c r="H258" s="77" t="s">
        <v>921</v>
      </c>
      <c r="I258" s="77" t="s">
        <v>922</v>
      </c>
      <c r="J258" s="77" t="s">
        <v>469</v>
      </c>
      <c r="K258" s="77" t="s">
        <v>451</v>
      </c>
      <c r="L258" s="77" t="s">
        <v>823</v>
      </c>
      <c r="M258" s="62" t="str">
        <f t="shared" si="3"/>
        <v>View on Google Map</v>
      </c>
    </row>
    <row r="259" spans="1:13">
      <c r="A259" s="77">
        <v>541</v>
      </c>
      <c r="B259" s="77" t="s">
        <v>923</v>
      </c>
      <c r="C259" s="77" t="s">
        <v>912</v>
      </c>
      <c r="D259" s="77">
        <v>68.609846000000005</v>
      </c>
      <c r="E259" s="77">
        <v>-149.58295100000001</v>
      </c>
      <c r="F259" s="77">
        <v>744</v>
      </c>
      <c r="G259" s="77" t="s">
        <v>460</v>
      </c>
      <c r="H259" s="77" t="s">
        <v>451</v>
      </c>
      <c r="I259" s="77" t="s">
        <v>451</v>
      </c>
      <c r="J259" s="77" t="s">
        <v>913</v>
      </c>
      <c r="K259" s="77" t="s">
        <v>451</v>
      </c>
      <c r="L259" s="77" t="s">
        <v>914</v>
      </c>
      <c r="M259" s="62" t="str">
        <f t="shared" ref="M259:M322" si="4">HYPERLINK("http://maps.google.com/maps?q="&amp;D259&amp;","&amp;E259,"View on Google Map")</f>
        <v>View on Google Map</v>
      </c>
    </row>
    <row r="260" spans="1:13">
      <c r="A260" s="77">
        <v>539</v>
      </c>
      <c r="B260" s="77" t="s">
        <v>924</v>
      </c>
      <c r="C260" s="77" t="s">
        <v>912</v>
      </c>
      <c r="D260" s="77">
        <v>68.610575999999995</v>
      </c>
      <c r="E260" s="77">
        <v>-149.576018</v>
      </c>
      <c r="F260" s="77">
        <v>744</v>
      </c>
      <c r="G260" s="77" t="s">
        <v>460</v>
      </c>
      <c r="H260" s="77" t="s">
        <v>451</v>
      </c>
      <c r="I260" s="77" t="s">
        <v>451</v>
      </c>
      <c r="J260" s="77" t="s">
        <v>913</v>
      </c>
      <c r="K260" s="77" t="s">
        <v>451</v>
      </c>
      <c r="L260" s="77" t="s">
        <v>914</v>
      </c>
      <c r="M260" s="62" t="str">
        <f t="shared" si="4"/>
        <v>View on Google Map</v>
      </c>
    </row>
    <row r="261" spans="1:13">
      <c r="A261" s="77">
        <v>538</v>
      </c>
      <c r="B261" s="77" t="s">
        <v>925</v>
      </c>
      <c r="C261" s="77" t="s">
        <v>912</v>
      </c>
      <c r="D261" s="77">
        <v>68.610889</v>
      </c>
      <c r="E261" s="77">
        <v>-149.576108</v>
      </c>
      <c r="F261" s="77">
        <v>744</v>
      </c>
      <c r="G261" s="77" t="s">
        <v>468</v>
      </c>
      <c r="H261" s="77" t="s">
        <v>451</v>
      </c>
      <c r="I261" s="77" t="s">
        <v>451</v>
      </c>
      <c r="J261" s="77" t="s">
        <v>913</v>
      </c>
      <c r="K261" s="77" t="s">
        <v>451</v>
      </c>
      <c r="L261" s="77" t="s">
        <v>914</v>
      </c>
      <c r="M261" s="62" t="str">
        <f t="shared" si="4"/>
        <v>View on Google Map</v>
      </c>
    </row>
    <row r="262" spans="1:13">
      <c r="A262" s="77">
        <v>544</v>
      </c>
      <c r="B262" s="77" t="s">
        <v>926</v>
      </c>
      <c r="C262" s="77" t="s">
        <v>912</v>
      </c>
      <c r="D262" s="77">
        <v>68.610529</v>
      </c>
      <c r="E262" s="77">
        <v>-149.58864199999999</v>
      </c>
      <c r="F262" s="77">
        <v>744</v>
      </c>
      <c r="G262" s="77" t="s">
        <v>460</v>
      </c>
      <c r="H262" s="77" t="s">
        <v>451</v>
      </c>
      <c r="I262" s="77" t="s">
        <v>451</v>
      </c>
      <c r="J262" s="77" t="s">
        <v>913</v>
      </c>
      <c r="K262" s="77" t="s">
        <v>451</v>
      </c>
      <c r="L262" s="77" t="s">
        <v>914</v>
      </c>
      <c r="M262" s="62" t="str">
        <f t="shared" si="4"/>
        <v>View on Google Map</v>
      </c>
    </row>
    <row r="263" spans="1:13">
      <c r="A263" s="77">
        <v>540</v>
      </c>
      <c r="B263" s="77" t="s">
        <v>927</v>
      </c>
      <c r="C263" s="77" t="s">
        <v>912</v>
      </c>
      <c r="D263" s="77">
        <v>68.609842</v>
      </c>
      <c r="E263" s="77">
        <v>-149.575346</v>
      </c>
      <c r="F263" s="77">
        <v>744</v>
      </c>
      <c r="G263" s="77" t="s">
        <v>460</v>
      </c>
      <c r="H263" s="77" t="s">
        <v>451</v>
      </c>
      <c r="I263" s="77" t="s">
        <v>451</v>
      </c>
      <c r="J263" s="77" t="s">
        <v>913</v>
      </c>
      <c r="K263" s="77" t="s">
        <v>451</v>
      </c>
      <c r="L263" s="77" t="s">
        <v>914</v>
      </c>
      <c r="M263" s="62" t="str">
        <f t="shared" si="4"/>
        <v>View on Google Map</v>
      </c>
    </row>
    <row r="264" spans="1:13">
      <c r="A264" s="77">
        <v>542</v>
      </c>
      <c r="B264" s="77" t="s">
        <v>928</v>
      </c>
      <c r="C264" s="77" t="s">
        <v>912</v>
      </c>
      <c r="D264" s="77">
        <v>68.609202999999994</v>
      </c>
      <c r="E264" s="77">
        <v>-149.588257</v>
      </c>
      <c r="F264" s="77">
        <v>744</v>
      </c>
      <c r="G264" s="77" t="s">
        <v>460</v>
      </c>
      <c r="H264" s="77" t="s">
        <v>451</v>
      </c>
      <c r="I264" s="77" t="s">
        <v>451</v>
      </c>
      <c r="J264" s="77" t="s">
        <v>913</v>
      </c>
      <c r="K264" s="77" t="s">
        <v>451</v>
      </c>
      <c r="L264" s="77" t="s">
        <v>914</v>
      </c>
      <c r="M264" s="62" t="str">
        <f t="shared" si="4"/>
        <v>View on Google Map</v>
      </c>
    </row>
    <row r="265" spans="1:13">
      <c r="A265" s="77">
        <v>543</v>
      </c>
      <c r="B265" s="77" t="s">
        <v>929</v>
      </c>
      <c r="C265" s="77" t="s">
        <v>912</v>
      </c>
      <c r="D265" s="77">
        <v>68.610028</v>
      </c>
      <c r="E265" s="77">
        <v>-149.588391</v>
      </c>
      <c r="F265" s="77">
        <v>744</v>
      </c>
      <c r="G265" s="77" t="s">
        <v>460</v>
      </c>
      <c r="H265" s="77" t="s">
        <v>451</v>
      </c>
      <c r="I265" s="77" t="s">
        <v>451</v>
      </c>
      <c r="J265" s="77" t="s">
        <v>913</v>
      </c>
      <c r="K265" s="77" t="s">
        <v>451</v>
      </c>
      <c r="L265" s="77" t="s">
        <v>914</v>
      </c>
      <c r="M265" s="62" t="str">
        <f t="shared" si="4"/>
        <v>View on Google Map</v>
      </c>
    </row>
    <row r="266" spans="1:13">
      <c r="A266" s="77">
        <v>537</v>
      </c>
      <c r="B266" s="77" t="s">
        <v>930</v>
      </c>
      <c r="C266" s="77" t="s">
        <v>912</v>
      </c>
      <c r="D266" s="77">
        <v>68.611514</v>
      </c>
      <c r="E266" s="77">
        <v>-149.577617</v>
      </c>
      <c r="F266" s="77">
        <v>744</v>
      </c>
      <c r="G266" s="77" t="s">
        <v>468</v>
      </c>
      <c r="H266" s="77" t="s">
        <v>451</v>
      </c>
      <c r="I266" s="77" t="s">
        <v>451</v>
      </c>
      <c r="J266" s="77" t="s">
        <v>913</v>
      </c>
      <c r="K266" s="77" t="s">
        <v>451</v>
      </c>
      <c r="L266" s="77" t="s">
        <v>914</v>
      </c>
      <c r="M266" s="62" t="str">
        <f t="shared" si="4"/>
        <v>View on Google Map</v>
      </c>
    </row>
    <row r="267" spans="1:13">
      <c r="A267" s="77">
        <v>15</v>
      </c>
      <c r="B267" s="77" t="s">
        <v>931</v>
      </c>
      <c r="C267" s="77" t="s">
        <v>451</v>
      </c>
      <c r="D267" s="77" t="s">
        <v>451</v>
      </c>
      <c r="E267" s="77" t="s">
        <v>451</v>
      </c>
      <c r="F267" s="77">
        <v>744</v>
      </c>
      <c r="G267" s="77" t="s">
        <v>468</v>
      </c>
      <c r="H267" s="77" t="s">
        <v>932</v>
      </c>
      <c r="I267" s="77" t="s">
        <v>933</v>
      </c>
      <c r="J267" s="77" t="s">
        <v>469</v>
      </c>
      <c r="K267" s="77">
        <v>186</v>
      </c>
      <c r="L267" s="77" t="s">
        <v>451</v>
      </c>
      <c r="M267" s="62" t="str">
        <f t="shared" si="4"/>
        <v>View on Google Map</v>
      </c>
    </row>
    <row r="268" spans="1:13">
      <c r="A268" s="77">
        <v>305</v>
      </c>
      <c r="B268" s="77" t="s">
        <v>934</v>
      </c>
      <c r="C268" s="77" t="s">
        <v>935</v>
      </c>
      <c r="D268" s="77" t="s">
        <v>451</v>
      </c>
      <c r="E268" s="77" t="s">
        <v>451</v>
      </c>
      <c r="F268" s="77" t="s">
        <v>451</v>
      </c>
      <c r="G268" s="77" t="s">
        <v>468</v>
      </c>
      <c r="H268" s="77" t="s">
        <v>936</v>
      </c>
      <c r="I268" s="77" t="s">
        <v>937</v>
      </c>
      <c r="J268" s="77" t="s">
        <v>469</v>
      </c>
      <c r="K268" s="77" t="s">
        <v>451</v>
      </c>
      <c r="L268" s="77" t="s">
        <v>823</v>
      </c>
      <c r="M268" s="62" t="str">
        <f t="shared" si="4"/>
        <v>View on Google Map</v>
      </c>
    </row>
    <row r="269" spans="1:13">
      <c r="A269" s="77">
        <v>119</v>
      </c>
      <c r="B269" s="77" t="s">
        <v>938</v>
      </c>
      <c r="C269" s="77" t="s">
        <v>451</v>
      </c>
      <c r="D269" s="77">
        <v>68.618964513199998</v>
      </c>
      <c r="E269" s="77">
        <v>-149.59549733099999</v>
      </c>
      <c r="F269" s="77">
        <v>728</v>
      </c>
      <c r="G269" s="77" t="s">
        <v>460</v>
      </c>
      <c r="H269" s="77" t="s">
        <v>939</v>
      </c>
      <c r="I269" s="77" t="s">
        <v>940</v>
      </c>
      <c r="J269" s="77" t="s">
        <v>469</v>
      </c>
      <c r="K269" s="77" t="s">
        <v>451</v>
      </c>
      <c r="L269" s="77" t="s">
        <v>808</v>
      </c>
      <c r="M269" s="62" t="str">
        <f t="shared" si="4"/>
        <v>View on Google Map</v>
      </c>
    </row>
    <row r="270" spans="1:13">
      <c r="A270" s="77">
        <v>244</v>
      </c>
      <c r="B270" s="77" t="s">
        <v>941</v>
      </c>
      <c r="C270" s="77" t="s">
        <v>451</v>
      </c>
      <c r="D270" s="77">
        <v>68.619383330000005</v>
      </c>
      <c r="E270" s="77">
        <v>-149.59528299999999</v>
      </c>
      <c r="F270" s="77">
        <v>728</v>
      </c>
      <c r="G270" s="77" t="s">
        <v>468</v>
      </c>
      <c r="H270" s="77" t="s">
        <v>942</v>
      </c>
      <c r="I270" s="77" t="s">
        <v>943</v>
      </c>
      <c r="J270" s="77" t="s">
        <v>469</v>
      </c>
      <c r="K270" s="77" t="s">
        <v>451</v>
      </c>
      <c r="L270" s="77" t="s">
        <v>823</v>
      </c>
      <c r="M270" s="62" t="str">
        <f t="shared" si="4"/>
        <v>View on Google Map</v>
      </c>
    </row>
    <row r="271" spans="1:13">
      <c r="A271" s="77">
        <v>11</v>
      </c>
      <c r="B271" s="77" t="s">
        <v>944</v>
      </c>
      <c r="C271" s="77" t="s">
        <v>451</v>
      </c>
      <c r="D271" s="77" t="s">
        <v>451</v>
      </c>
      <c r="E271" s="77" t="s">
        <v>451</v>
      </c>
      <c r="F271" s="77">
        <v>884</v>
      </c>
      <c r="G271" s="77" t="s">
        <v>468</v>
      </c>
      <c r="H271" s="77" t="s">
        <v>945</v>
      </c>
      <c r="I271" s="77" t="s">
        <v>946</v>
      </c>
      <c r="J271" s="77" t="s">
        <v>469</v>
      </c>
      <c r="K271" s="77" t="s">
        <v>451</v>
      </c>
      <c r="L271" s="77" t="s">
        <v>451</v>
      </c>
      <c r="M271" s="62" t="str">
        <f t="shared" si="4"/>
        <v>View on Google Map</v>
      </c>
    </row>
    <row r="272" spans="1:13">
      <c r="A272" s="77">
        <v>1141</v>
      </c>
      <c r="B272" s="77" t="s">
        <v>947</v>
      </c>
      <c r="C272" s="77" t="s">
        <v>451</v>
      </c>
      <c r="D272" s="77" t="s">
        <v>451</v>
      </c>
      <c r="E272" s="77" t="s">
        <v>451</v>
      </c>
      <c r="F272" s="77" t="s">
        <v>451</v>
      </c>
      <c r="G272" s="77" t="s">
        <v>452</v>
      </c>
      <c r="H272" s="77" t="s">
        <v>948</v>
      </c>
      <c r="I272" s="77" t="s">
        <v>451</v>
      </c>
      <c r="J272" s="77" t="s">
        <v>469</v>
      </c>
      <c r="K272" s="77" t="s">
        <v>451</v>
      </c>
      <c r="L272" s="77" t="s">
        <v>451</v>
      </c>
      <c r="M272" s="62" t="str">
        <f t="shared" si="4"/>
        <v>View on Google Map</v>
      </c>
    </row>
    <row r="273" spans="1:13">
      <c r="A273" s="77">
        <v>1142</v>
      </c>
      <c r="B273" s="77" t="s">
        <v>949</v>
      </c>
      <c r="C273" s="77" t="s">
        <v>451</v>
      </c>
      <c r="D273" s="77" t="s">
        <v>451</v>
      </c>
      <c r="E273" s="77" t="s">
        <v>451</v>
      </c>
      <c r="F273" s="77" t="s">
        <v>451</v>
      </c>
      <c r="G273" s="77" t="s">
        <v>468</v>
      </c>
      <c r="H273" s="77" t="s">
        <v>950</v>
      </c>
      <c r="I273" s="77" t="s">
        <v>451</v>
      </c>
      <c r="J273" s="77" t="s">
        <v>951</v>
      </c>
      <c r="K273" s="77" t="s">
        <v>451</v>
      </c>
      <c r="L273" s="77" t="s">
        <v>451</v>
      </c>
      <c r="M273" s="62" t="str">
        <f t="shared" si="4"/>
        <v>View on Google Map</v>
      </c>
    </row>
    <row r="274" spans="1:13">
      <c r="A274" s="77">
        <v>1143</v>
      </c>
      <c r="B274" s="77" t="s">
        <v>952</v>
      </c>
      <c r="C274" s="77" t="s">
        <v>451</v>
      </c>
      <c r="D274" s="77" t="s">
        <v>451</v>
      </c>
      <c r="E274" s="77" t="s">
        <v>451</v>
      </c>
      <c r="F274" s="77" t="s">
        <v>451</v>
      </c>
      <c r="G274" s="77" t="s">
        <v>468</v>
      </c>
      <c r="H274" s="77" t="s">
        <v>451</v>
      </c>
      <c r="I274" s="77" t="s">
        <v>451</v>
      </c>
      <c r="J274" s="77" t="s">
        <v>951</v>
      </c>
      <c r="K274" s="77" t="s">
        <v>451</v>
      </c>
      <c r="L274" s="77" t="s">
        <v>451</v>
      </c>
      <c r="M274" s="62" t="str">
        <f t="shared" si="4"/>
        <v>View on Google Map</v>
      </c>
    </row>
    <row r="275" spans="1:13">
      <c r="A275" s="77">
        <v>1140</v>
      </c>
      <c r="B275" s="77" t="s">
        <v>953</v>
      </c>
      <c r="C275" s="77" t="s">
        <v>451</v>
      </c>
      <c r="D275" s="77" t="s">
        <v>451</v>
      </c>
      <c r="E275" s="77" t="s">
        <v>451</v>
      </c>
      <c r="F275" s="77" t="s">
        <v>451</v>
      </c>
      <c r="G275" s="77" t="s">
        <v>452</v>
      </c>
      <c r="H275" s="77" t="s">
        <v>954</v>
      </c>
      <c r="I275" s="77" t="s">
        <v>955</v>
      </c>
      <c r="J275" s="77" t="s">
        <v>469</v>
      </c>
      <c r="K275" s="77" t="s">
        <v>451</v>
      </c>
      <c r="L275" s="77" t="s">
        <v>451</v>
      </c>
      <c r="M275" s="62" t="str">
        <f t="shared" si="4"/>
        <v>View on Google Map</v>
      </c>
    </row>
    <row r="276" spans="1:13">
      <c r="A276" s="77">
        <v>1173</v>
      </c>
      <c r="B276" s="77" t="s">
        <v>956</v>
      </c>
      <c r="C276" s="77" t="s">
        <v>451</v>
      </c>
      <c r="D276" s="77" t="s">
        <v>451</v>
      </c>
      <c r="E276" s="77" t="s">
        <v>451</v>
      </c>
      <c r="F276" s="77" t="s">
        <v>451</v>
      </c>
      <c r="G276" s="77" t="s">
        <v>452</v>
      </c>
      <c r="H276" s="77" t="s">
        <v>957</v>
      </c>
      <c r="I276" s="77" t="s">
        <v>451</v>
      </c>
      <c r="J276" s="77" t="s">
        <v>456</v>
      </c>
      <c r="K276" s="77" t="s">
        <v>451</v>
      </c>
      <c r="L276" s="77" t="s">
        <v>457</v>
      </c>
      <c r="M276" s="62" t="str">
        <f t="shared" si="4"/>
        <v>View on Google Map</v>
      </c>
    </row>
    <row r="277" spans="1:13">
      <c r="A277" s="77">
        <v>1144</v>
      </c>
      <c r="B277" s="77" t="s">
        <v>958</v>
      </c>
      <c r="C277" s="77" t="s">
        <v>451</v>
      </c>
      <c r="D277" s="77" t="s">
        <v>451</v>
      </c>
      <c r="E277" s="77" t="s">
        <v>451</v>
      </c>
      <c r="F277" s="77" t="s">
        <v>451</v>
      </c>
      <c r="G277" s="77" t="s">
        <v>468</v>
      </c>
      <c r="H277" s="77" t="s">
        <v>958</v>
      </c>
      <c r="I277" s="77" t="s">
        <v>451</v>
      </c>
      <c r="J277" s="77" t="s">
        <v>951</v>
      </c>
      <c r="K277" s="77" t="s">
        <v>451</v>
      </c>
      <c r="L277" s="77" t="s">
        <v>451</v>
      </c>
      <c r="M277" s="62" t="str">
        <f t="shared" si="4"/>
        <v>View on Google Map</v>
      </c>
    </row>
    <row r="278" spans="1:13">
      <c r="A278" s="77">
        <v>1145</v>
      </c>
      <c r="B278" s="77" t="s">
        <v>959</v>
      </c>
      <c r="C278" s="77" t="s">
        <v>451</v>
      </c>
      <c r="D278" s="77" t="s">
        <v>451</v>
      </c>
      <c r="E278" s="77" t="s">
        <v>451</v>
      </c>
      <c r="F278" s="77" t="s">
        <v>451</v>
      </c>
      <c r="G278" s="77" t="s">
        <v>468</v>
      </c>
      <c r="H278" s="77" t="s">
        <v>959</v>
      </c>
      <c r="I278" s="77" t="s">
        <v>451</v>
      </c>
      <c r="J278" s="77" t="s">
        <v>951</v>
      </c>
      <c r="K278" s="77" t="s">
        <v>451</v>
      </c>
      <c r="L278" s="77" t="s">
        <v>451</v>
      </c>
      <c r="M278" s="62" t="str">
        <f t="shared" si="4"/>
        <v>View on Google Map</v>
      </c>
    </row>
    <row r="279" spans="1:13">
      <c r="A279" s="77">
        <v>1146</v>
      </c>
      <c r="B279" s="77" t="s">
        <v>960</v>
      </c>
      <c r="C279" s="77" t="s">
        <v>451</v>
      </c>
      <c r="D279" s="77" t="s">
        <v>451</v>
      </c>
      <c r="E279" s="77" t="s">
        <v>451</v>
      </c>
      <c r="F279" s="77" t="s">
        <v>451</v>
      </c>
      <c r="G279" s="77" t="s">
        <v>452</v>
      </c>
      <c r="H279" s="77" t="s">
        <v>960</v>
      </c>
      <c r="I279" s="77" t="s">
        <v>451</v>
      </c>
      <c r="J279" s="77" t="s">
        <v>951</v>
      </c>
      <c r="K279" s="77" t="s">
        <v>451</v>
      </c>
      <c r="L279" s="77" t="s">
        <v>451</v>
      </c>
      <c r="M279" s="62" t="str">
        <f t="shared" si="4"/>
        <v>View on Google Map</v>
      </c>
    </row>
    <row r="280" spans="1:13">
      <c r="A280" s="77">
        <v>1147</v>
      </c>
      <c r="B280" s="77" t="s">
        <v>961</v>
      </c>
      <c r="C280" s="77" t="s">
        <v>451</v>
      </c>
      <c r="D280" s="77" t="s">
        <v>451</v>
      </c>
      <c r="E280" s="77" t="s">
        <v>451</v>
      </c>
      <c r="F280" s="77" t="s">
        <v>451</v>
      </c>
      <c r="G280" s="77" t="s">
        <v>452</v>
      </c>
      <c r="H280" s="77" t="s">
        <v>961</v>
      </c>
      <c r="I280" s="77" t="s">
        <v>451</v>
      </c>
      <c r="J280" s="77" t="s">
        <v>951</v>
      </c>
      <c r="K280" s="77" t="s">
        <v>451</v>
      </c>
      <c r="L280" s="77" t="s">
        <v>451</v>
      </c>
      <c r="M280" s="62" t="str">
        <f t="shared" si="4"/>
        <v>View on Google Map</v>
      </c>
    </row>
    <row r="281" spans="1:13">
      <c r="A281" s="77">
        <v>1148</v>
      </c>
      <c r="B281" s="77" t="s">
        <v>962</v>
      </c>
      <c r="C281" s="77" t="s">
        <v>451</v>
      </c>
      <c r="D281" s="77" t="s">
        <v>451</v>
      </c>
      <c r="E281" s="77" t="s">
        <v>451</v>
      </c>
      <c r="F281" s="77" t="s">
        <v>451</v>
      </c>
      <c r="G281" s="77" t="s">
        <v>452</v>
      </c>
      <c r="H281" s="77" t="s">
        <v>962</v>
      </c>
      <c r="I281" s="77" t="s">
        <v>963</v>
      </c>
      <c r="J281" s="77" t="s">
        <v>951</v>
      </c>
      <c r="K281" s="77" t="s">
        <v>451</v>
      </c>
      <c r="L281" s="77" t="s">
        <v>451</v>
      </c>
      <c r="M281" s="62" t="str">
        <f t="shared" si="4"/>
        <v>View on Google Map</v>
      </c>
    </row>
    <row r="282" spans="1:13">
      <c r="A282" s="77">
        <v>1149</v>
      </c>
      <c r="B282" s="77" t="s">
        <v>964</v>
      </c>
      <c r="C282" s="77" t="s">
        <v>451</v>
      </c>
      <c r="D282" s="77" t="s">
        <v>451</v>
      </c>
      <c r="E282" s="77" t="s">
        <v>451</v>
      </c>
      <c r="F282" s="77" t="s">
        <v>451</v>
      </c>
      <c r="G282" s="77" t="s">
        <v>452</v>
      </c>
      <c r="H282" s="77" t="s">
        <v>964</v>
      </c>
      <c r="I282" s="77" t="s">
        <v>965</v>
      </c>
      <c r="J282" s="77" t="s">
        <v>951</v>
      </c>
      <c r="K282" s="77" t="s">
        <v>451</v>
      </c>
      <c r="L282" s="77" t="s">
        <v>451</v>
      </c>
      <c r="M282" s="62" t="str">
        <f t="shared" si="4"/>
        <v>View on Google Map</v>
      </c>
    </row>
    <row r="283" spans="1:13">
      <c r="A283" s="77">
        <v>1150</v>
      </c>
      <c r="B283" s="77" t="s">
        <v>966</v>
      </c>
      <c r="C283" s="77" t="s">
        <v>451</v>
      </c>
      <c r="D283" s="77" t="s">
        <v>451</v>
      </c>
      <c r="E283" s="77" t="s">
        <v>451</v>
      </c>
      <c r="F283" s="77" t="s">
        <v>451</v>
      </c>
      <c r="G283" s="77" t="s">
        <v>452</v>
      </c>
      <c r="H283" s="77" t="s">
        <v>966</v>
      </c>
      <c r="I283" s="77" t="s">
        <v>967</v>
      </c>
      <c r="J283" s="77" t="s">
        <v>951</v>
      </c>
      <c r="K283" s="77" t="s">
        <v>451</v>
      </c>
      <c r="L283" s="77" t="s">
        <v>451</v>
      </c>
      <c r="M283" s="62" t="str">
        <f t="shared" si="4"/>
        <v>View on Google Map</v>
      </c>
    </row>
    <row r="284" spans="1:13">
      <c r="A284" s="77">
        <v>1151</v>
      </c>
      <c r="B284" s="77" t="s">
        <v>968</v>
      </c>
      <c r="C284" s="77" t="s">
        <v>451</v>
      </c>
      <c r="D284" s="77" t="s">
        <v>451</v>
      </c>
      <c r="E284" s="77" t="s">
        <v>451</v>
      </c>
      <c r="F284" s="77" t="s">
        <v>451</v>
      </c>
      <c r="G284" s="77" t="s">
        <v>452</v>
      </c>
      <c r="H284" s="77" t="s">
        <v>968</v>
      </c>
      <c r="I284" s="77" t="s">
        <v>969</v>
      </c>
      <c r="J284" s="77" t="s">
        <v>951</v>
      </c>
      <c r="K284" s="77" t="s">
        <v>451</v>
      </c>
      <c r="L284" s="77" t="s">
        <v>451</v>
      </c>
      <c r="M284" s="62" t="str">
        <f t="shared" si="4"/>
        <v>View on Google Map</v>
      </c>
    </row>
    <row r="285" spans="1:13">
      <c r="A285" s="77">
        <v>1152</v>
      </c>
      <c r="B285" s="77" t="s">
        <v>970</v>
      </c>
      <c r="C285" s="77" t="s">
        <v>451</v>
      </c>
      <c r="D285" s="77" t="s">
        <v>451</v>
      </c>
      <c r="E285" s="77" t="s">
        <v>451</v>
      </c>
      <c r="F285" s="77" t="s">
        <v>451</v>
      </c>
      <c r="G285" s="77" t="s">
        <v>452</v>
      </c>
      <c r="H285" s="77" t="s">
        <v>970</v>
      </c>
      <c r="I285" s="77" t="s">
        <v>971</v>
      </c>
      <c r="J285" s="77" t="s">
        <v>951</v>
      </c>
      <c r="K285" s="77" t="s">
        <v>451</v>
      </c>
      <c r="L285" s="77" t="s">
        <v>451</v>
      </c>
      <c r="M285" s="62" t="str">
        <f t="shared" si="4"/>
        <v>View on Google Map</v>
      </c>
    </row>
    <row r="286" spans="1:13">
      <c r="A286" s="77">
        <v>1153</v>
      </c>
      <c r="B286" s="77" t="s">
        <v>972</v>
      </c>
      <c r="C286" s="77" t="s">
        <v>451</v>
      </c>
      <c r="D286" s="77" t="s">
        <v>451</v>
      </c>
      <c r="E286" s="77" t="s">
        <v>451</v>
      </c>
      <c r="F286" s="77" t="s">
        <v>451</v>
      </c>
      <c r="G286" s="77" t="s">
        <v>452</v>
      </c>
      <c r="H286" s="77" t="s">
        <v>972</v>
      </c>
      <c r="I286" s="77" t="s">
        <v>973</v>
      </c>
      <c r="J286" s="77" t="s">
        <v>951</v>
      </c>
      <c r="K286" s="77" t="s">
        <v>451</v>
      </c>
      <c r="L286" s="77" t="s">
        <v>451</v>
      </c>
      <c r="M286" s="62" t="str">
        <f t="shared" si="4"/>
        <v>View on Google Map</v>
      </c>
    </row>
    <row r="287" spans="1:13">
      <c r="A287" s="77">
        <v>1154</v>
      </c>
      <c r="B287" s="77" t="s">
        <v>974</v>
      </c>
      <c r="C287" s="77" t="s">
        <v>451</v>
      </c>
      <c r="D287" s="77" t="s">
        <v>451</v>
      </c>
      <c r="E287" s="77" t="s">
        <v>451</v>
      </c>
      <c r="F287" s="77" t="s">
        <v>451</v>
      </c>
      <c r="G287" s="77" t="s">
        <v>452</v>
      </c>
      <c r="H287" s="77" t="s">
        <v>974</v>
      </c>
      <c r="I287" s="77" t="s">
        <v>975</v>
      </c>
      <c r="J287" s="77" t="s">
        <v>951</v>
      </c>
      <c r="K287" s="77" t="s">
        <v>451</v>
      </c>
      <c r="L287" s="77" t="s">
        <v>451</v>
      </c>
      <c r="M287" s="62" t="str">
        <f t="shared" si="4"/>
        <v>View on Google Map</v>
      </c>
    </row>
    <row r="288" spans="1:13">
      <c r="A288" s="77">
        <v>1155</v>
      </c>
      <c r="B288" s="77" t="s">
        <v>976</v>
      </c>
      <c r="C288" s="77" t="s">
        <v>451</v>
      </c>
      <c r="D288" s="77" t="s">
        <v>451</v>
      </c>
      <c r="E288" s="77" t="s">
        <v>451</v>
      </c>
      <c r="F288" s="77" t="s">
        <v>451</v>
      </c>
      <c r="G288" s="77" t="s">
        <v>452</v>
      </c>
      <c r="H288" s="77" t="s">
        <v>976</v>
      </c>
      <c r="I288" s="77" t="s">
        <v>977</v>
      </c>
      <c r="J288" s="77" t="s">
        <v>951</v>
      </c>
      <c r="K288" s="77" t="s">
        <v>451</v>
      </c>
      <c r="L288" s="77" t="s">
        <v>451</v>
      </c>
      <c r="M288" s="62" t="str">
        <f t="shared" si="4"/>
        <v>View on Google Map</v>
      </c>
    </row>
    <row r="289" spans="1:13">
      <c r="A289" s="77">
        <v>1156</v>
      </c>
      <c r="B289" s="77" t="s">
        <v>978</v>
      </c>
      <c r="C289" s="77" t="s">
        <v>451</v>
      </c>
      <c r="D289" s="77" t="s">
        <v>451</v>
      </c>
      <c r="E289" s="77" t="s">
        <v>451</v>
      </c>
      <c r="F289" s="77" t="s">
        <v>451</v>
      </c>
      <c r="G289" s="77" t="s">
        <v>452</v>
      </c>
      <c r="H289" s="77" t="s">
        <v>978</v>
      </c>
      <c r="I289" s="77" t="s">
        <v>979</v>
      </c>
      <c r="J289" s="77" t="s">
        <v>951</v>
      </c>
      <c r="K289" s="77" t="s">
        <v>451</v>
      </c>
      <c r="L289" s="77" t="s">
        <v>451</v>
      </c>
      <c r="M289" s="62" t="str">
        <f t="shared" si="4"/>
        <v>View on Google Map</v>
      </c>
    </row>
    <row r="290" spans="1:13">
      <c r="A290" s="77">
        <v>1157</v>
      </c>
      <c r="B290" s="77" t="s">
        <v>980</v>
      </c>
      <c r="C290" s="77" t="s">
        <v>451</v>
      </c>
      <c r="D290" s="77" t="s">
        <v>451</v>
      </c>
      <c r="E290" s="77" t="s">
        <v>451</v>
      </c>
      <c r="F290" s="77" t="s">
        <v>451</v>
      </c>
      <c r="G290" s="77" t="s">
        <v>452</v>
      </c>
      <c r="H290" s="77" t="s">
        <v>980</v>
      </c>
      <c r="I290" s="77" t="s">
        <v>981</v>
      </c>
      <c r="J290" s="77" t="s">
        <v>951</v>
      </c>
      <c r="K290" s="77" t="s">
        <v>451</v>
      </c>
      <c r="L290" s="77" t="s">
        <v>451</v>
      </c>
      <c r="M290" s="62" t="str">
        <f t="shared" si="4"/>
        <v>View on Google Map</v>
      </c>
    </row>
    <row r="291" spans="1:13">
      <c r="A291" s="77">
        <v>1158</v>
      </c>
      <c r="B291" s="77" t="s">
        <v>982</v>
      </c>
      <c r="C291" s="77" t="s">
        <v>451</v>
      </c>
      <c r="D291" s="77" t="s">
        <v>451</v>
      </c>
      <c r="E291" s="77" t="s">
        <v>451</v>
      </c>
      <c r="F291" s="77" t="s">
        <v>451</v>
      </c>
      <c r="G291" s="77" t="s">
        <v>452</v>
      </c>
      <c r="H291" s="77" t="s">
        <v>982</v>
      </c>
      <c r="I291" s="77" t="s">
        <v>983</v>
      </c>
      <c r="J291" s="77" t="s">
        <v>951</v>
      </c>
      <c r="K291" s="77" t="s">
        <v>451</v>
      </c>
      <c r="L291" s="77" t="s">
        <v>451</v>
      </c>
      <c r="M291" s="62" t="str">
        <f t="shared" si="4"/>
        <v>View on Google Map</v>
      </c>
    </row>
    <row r="292" spans="1:13">
      <c r="A292" s="77">
        <v>1159</v>
      </c>
      <c r="B292" s="77" t="s">
        <v>984</v>
      </c>
      <c r="C292" s="77" t="s">
        <v>451</v>
      </c>
      <c r="D292" s="77" t="s">
        <v>451</v>
      </c>
      <c r="E292" s="77" t="s">
        <v>451</v>
      </c>
      <c r="F292" s="77" t="s">
        <v>451</v>
      </c>
      <c r="G292" s="77" t="s">
        <v>452</v>
      </c>
      <c r="H292" s="77" t="s">
        <v>984</v>
      </c>
      <c r="I292" s="77" t="s">
        <v>985</v>
      </c>
      <c r="J292" s="77" t="s">
        <v>951</v>
      </c>
      <c r="K292" s="77" t="s">
        <v>451</v>
      </c>
      <c r="L292" s="77" t="s">
        <v>451</v>
      </c>
      <c r="M292" s="62" t="str">
        <f t="shared" si="4"/>
        <v>View on Google Map</v>
      </c>
    </row>
    <row r="293" spans="1:13">
      <c r="A293" s="77">
        <v>1160</v>
      </c>
      <c r="B293" s="77" t="s">
        <v>986</v>
      </c>
      <c r="C293" s="77" t="s">
        <v>451</v>
      </c>
      <c r="D293" s="77" t="s">
        <v>451</v>
      </c>
      <c r="E293" s="77" t="s">
        <v>451</v>
      </c>
      <c r="F293" s="77" t="s">
        <v>451</v>
      </c>
      <c r="G293" s="77" t="s">
        <v>452</v>
      </c>
      <c r="H293" s="77" t="s">
        <v>986</v>
      </c>
      <c r="I293" s="77" t="s">
        <v>987</v>
      </c>
      <c r="J293" s="77" t="s">
        <v>951</v>
      </c>
      <c r="K293" s="77" t="s">
        <v>451</v>
      </c>
      <c r="L293" s="77" t="s">
        <v>451</v>
      </c>
      <c r="M293" s="62" t="str">
        <f t="shared" si="4"/>
        <v>View on Google Map</v>
      </c>
    </row>
    <row r="294" spans="1:13">
      <c r="A294" s="77">
        <v>1161</v>
      </c>
      <c r="B294" s="77" t="s">
        <v>988</v>
      </c>
      <c r="C294" s="77" t="s">
        <v>451</v>
      </c>
      <c r="D294" s="77" t="s">
        <v>451</v>
      </c>
      <c r="E294" s="77" t="s">
        <v>451</v>
      </c>
      <c r="F294" s="77" t="s">
        <v>451</v>
      </c>
      <c r="G294" s="77" t="s">
        <v>452</v>
      </c>
      <c r="H294" s="77" t="s">
        <v>988</v>
      </c>
      <c r="I294" s="77" t="s">
        <v>989</v>
      </c>
      <c r="J294" s="77" t="s">
        <v>951</v>
      </c>
      <c r="K294" s="77" t="s">
        <v>451</v>
      </c>
      <c r="L294" s="77" t="s">
        <v>451</v>
      </c>
      <c r="M294" s="62" t="str">
        <f t="shared" si="4"/>
        <v>View on Google Map</v>
      </c>
    </row>
    <row r="295" spans="1:13">
      <c r="A295" s="77">
        <v>1162</v>
      </c>
      <c r="B295" s="77" t="s">
        <v>990</v>
      </c>
      <c r="C295" s="77" t="s">
        <v>451</v>
      </c>
      <c r="D295" s="77" t="s">
        <v>451</v>
      </c>
      <c r="E295" s="77" t="s">
        <v>451</v>
      </c>
      <c r="F295" s="77" t="s">
        <v>451</v>
      </c>
      <c r="G295" s="77" t="s">
        <v>452</v>
      </c>
      <c r="H295" s="77" t="s">
        <v>990</v>
      </c>
      <c r="I295" s="77" t="s">
        <v>991</v>
      </c>
      <c r="J295" s="77" t="s">
        <v>951</v>
      </c>
      <c r="K295" s="77" t="s">
        <v>451</v>
      </c>
      <c r="L295" s="77" t="s">
        <v>451</v>
      </c>
      <c r="M295" s="62" t="str">
        <f t="shared" si="4"/>
        <v>View on Google Map</v>
      </c>
    </row>
    <row r="296" spans="1:13">
      <c r="A296" s="77">
        <v>1163</v>
      </c>
      <c r="B296" s="77" t="s">
        <v>992</v>
      </c>
      <c r="C296" s="77" t="s">
        <v>451</v>
      </c>
      <c r="D296" s="77" t="s">
        <v>451</v>
      </c>
      <c r="E296" s="77" t="s">
        <v>451</v>
      </c>
      <c r="F296" s="77" t="s">
        <v>451</v>
      </c>
      <c r="G296" s="77" t="s">
        <v>452</v>
      </c>
      <c r="H296" s="77" t="s">
        <v>992</v>
      </c>
      <c r="I296" s="77" t="s">
        <v>993</v>
      </c>
      <c r="J296" s="77" t="s">
        <v>951</v>
      </c>
      <c r="K296" s="77" t="s">
        <v>451</v>
      </c>
      <c r="L296" s="77" t="s">
        <v>451</v>
      </c>
      <c r="M296" s="62" t="str">
        <f t="shared" si="4"/>
        <v>View on Google Map</v>
      </c>
    </row>
    <row r="297" spans="1:13">
      <c r="A297" s="77">
        <v>1164</v>
      </c>
      <c r="B297" s="77" t="s">
        <v>994</v>
      </c>
      <c r="C297" s="77" t="s">
        <v>451</v>
      </c>
      <c r="D297" s="77" t="s">
        <v>451</v>
      </c>
      <c r="E297" s="77" t="s">
        <v>451</v>
      </c>
      <c r="F297" s="77" t="s">
        <v>451</v>
      </c>
      <c r="G297" s="77" t="s">
        <v>452</v>
      </c>
      <c r="H297" s="77" t="s">
        <v>994</v>
      </c>
      <c r="I297" s="77" t="s">
        <v>995</v>
      </c>
      <c r="J297" s="77" t="s">
        <v>951</v>
      </c>
      <c r="K297" s="77" t="s">
        <v>451</v>
      </c>
      <c r="L297" s="77" t="s">
        <v>451</v>
      </c>
      <c r="M297" s="62" t="str">
        <f t="shared" si="4"/>
        <v>View on Google Map</v>
      </c>
    </row>
    <row r="298" spans="1:13">
      <c r="A298" s="77">
        <v>1165</v>
      </c>
      <c r="B298" s="77" t="s">
        <v>996</v>
      </c>
      <c r="C298" s="77" t="s">
        <v>451</v>
      </c>
      <c r="D298" s="77" t="s">
        <v>451</v>
      </c>
      <c r="E298" s="77" t="s">
        <v>451</v>
      </c>
      <c r="F298" s="77" t="s">
        <v>451</v>
      </c>
      <c r="G298" s="77" t="s">
        <v>452</v>
      </c>
      <c r="H298" s="77" t="s">
        <v>996</v>
      </c>
      <c r="I298" s="77" t="s">
        <v>451</v>
      </c>
      <c r="J298" s="77" t="s">
        <v>951</v>
      </c>
      <c r="K298" s="77" t="s">
        <v>451</v>
      </c>
      <c r="L298" s="77" t="s">
        <v>451</v>
      </c>
      <c r="M298" s="62" t="str">
        <f t="shared" si="4"/>
        <v>View on Google Map</v>
      </c>
    </row>
    <row r="299" spans="1:13">
      <c r="A299" s="77">
        <v>1166</v>
      </c>
      <c r="B299" s="77" t="s">
        <v>997</v>
      </c>
      <c r="C299" s="77" t="s">
        <v>451</v>
      </c>
      <c r="D299" s="77" t="s">
        <v>451</v>
      </c>
      <c r="E299" s="77" t="s">
        <v>451</v>
      </c>
      <c r="F299" s="77" t="s">
        <v>451</v>
      </c>
      <c r="G299" s="77" t="s">
        <v>452</v>
      </c>
      <c r="H299" s="77" t="s">
        <v>997</v>
      </c>
      <c r="I299" s="77" t="s">
        <v>451</v>
      </c>
      <c r="J299" s="77" t="s">
        <v>951</v>
      </c>
      <c r="K299" s="77" t="s">
        <v>451</v>
      </c>
      <c r="L299" s="77" t="s">
        <v>451</v>
      </c>
      <c r="M299" s="62" t="str">
        <f t="shared" si="4"/>
        <v>View on Google Map</v>
      </c>
    </row>
    <row r="300" spans="1:13">
      <c r="A300" s="77">
        <v>1167</v>
      </c>
      <c r="B300" s="77" t="s">
        <v>998</v>
      </c>
      <c r="C300" s="77" t="s">
        <v>999</v>
      </c>
      <c r="D300" s="77" t="s">
        <v>451</v>
      </c>
      <c r="E300" s="77" t="s">
        <v>451</v>
      </c>
      <c r="F300" s="77" t="s">
        <v>451</v>
      </c>
      <c r="G300" s="77" t="s">
        <v>452</v>
      </c>
      <c r="H300" s="77" t="s">
        <v>998</v>
      </c>
      <c r="I300" s="77" t="s">
        <v>451</v>
      </c>
      <c r="J300" s="77" t="s">
        <v>453</v>
      </c>
      <c r="K300" s="77" t="s">
        <v>451</v>
      </c>
      <c r="L300" s="77" t="s">
        <v>451</v>
      </c>
      <c r="M300" s="62" t="str">
        <f t="shared" si="4"/>
        <v>View on Google Map</v>
      </c>
    </row>
    <row r="301" spans="1:13">
      <c r="A301" s="77">
        <v>1168</v>
      </c>
      <c r="B301" s="77" t="s">
        <v>1000</v>
      </c>
      <c r="C301" s="77" t="s">
        <v>999</v>
      </c>
      <c r="D301" s="77" t="s">
        <v>451</v>
      </c>
      <c r="E301" s="77" t="s">
        <v>451</v>
      </c>
      <c r="F301" s="77" t="s">
        <v>451</v>
      </c>
      <c r="G301" s="77" t="s">
        <v>452</v>
      </c>
      <c r="H301" s="77" t="s">
        <v>1000</v>
      </c>
      <c r="I301" s="77" t="s">
        <v>451</v>
      </c>
      <c r="J301" s="77" t="s">
        <v>453</v>
      </c>
      <c r="K301" s="77" t="s">
        <v>451</v>
      </c>
      <c r="L301" s="77" t="s">
        <v>451</v>
      </c>
      <c r="M301" s="62" t="str">
        <f t="shared" si="4"/>
        <v>View on Google Map</v>
      </c>
    </row>
    <row r="302" spans="1:13">
      <c r="A302" s="77">
        <v>125</v>
      </c>
      <c r="B302" s="77" t="s">
        <v>1001</v>
      </c>
      <c r="C302" s="77" t="s">
        <v>451</v>
      </c>
      <c r="D302" s="77">
        <v>68.52364</v>
      </c>
      <c r="E302" s="77">
        <v>-149.48141000000001</v>
      </c>
      <c r="F302" s="77">
        <v>881</v>
      </c>
      <c r="G302" s="77" t="s">
        <v>460</v>
      </c>
      <c r="H302" s="77" t="s">
        <v>1002</v>
      </c>
      <c r="I302" s="77" t="s">
        <v>451</v>
      </c>
      <c r="J302" s="77" t="s">
        <v>469</v>
      </c>
      <c r="K302" s="77" t="s">
        <v>451</v>
      </c>
      <c r="L302" s="77" t="s">
        <v>470</v>
      </c>
      <c r="M302" s="62" t="str">
        <f t="shared" si="4"/>
        <v>View on Google Map</v>
      </c>
    </row>
    <row r="303" spans="1:13">
      <c r="A303" s="77">
        <v>110</v>
      </c>
      <c r="B303" s="77" t="s">
        <v>1003</v>
      </c>
      <c r="C303" s="77" t="s">
        <v>451</v>
      </c>
      <c r="D303" s="77">
        <v>68.687380000000005</v>
      </c>
      <c r="E303" s="77">
        <v>-149.67458999999999</v>
      </c>
      <c r="F303" s="77">
        <v>747</v>
      </c>
      <c r="G303" s="77" t="s">
        <v>460</v>
      </c>
      <c r="H303" s="77" t="s">
        <v>1004</v>
      </c>
      <c r="I303" s="77" t="s">
        <v>451</v>
      </c>
      <c r="J303" s="77" t="s">
        <v>469</v>
      </c>
      <c r="K303" s="77" t="s">
        <v>451</v>
      </c>
      <c r="L303" s="77" t="s">
        <v>451</v>
      </c>
      <c r="M303" s="62" t="str">
        <f t="shared" si="4"/>
        <v>View on Google Map</v>
      </c>
    </row>
    <row r="304" spans="1:13">
      <c r="A304" s="77">
        <v>159</v>
      </c>
      <c r="B304" s="77" t="s">
        <v>1005</v>
      </c>
      <c r="C304" s="77" t="s">
        <v>451</v>
      </c>
      <c r="D304" s="77">
        <v>68.38333333333334</v>
      </c>
      <c r="E304" s="77">
        <v>-149.91666666666666</v>
      </c>
      <c r="F304" s="77">
        <v>681</v>
      </c>
      <c r="G304" s="77" t="s">
        <v>460</v>
      </c>
      <c r="H304" s="77" t="s">
        <v>1006</v>
      </c>
      <c r="I304" s="77" t="s">
        <v>451</v>
      </c>
      <c r="J304" s="77" t="s">
        <v>469</v>
      </c>
      <c r="K304" s="77" t="s">
        <v>451</v>
      </c>
      <c r="L304" s="77" t="s">
        <v>470</v>
      </c>
      <c r="M304" s="62" t="str">
        <f t="shared" si="4"/>
        <v>View on Google Map</v>
      </c>
    </row>
    <row r="305" spans="1:13">
      <c r="A305" s="77">
        <v>32</v>
      </c>
      <c r="B305" s="77" t="s">
        <v>1007</v>
      </c>
      <c r="C305" s="77" t="s">
        <v>451</v>
      </c>
      <c r="D305" s="77">
        <v>68.933499999999995</v>
      </c>
      <c r="E305" s="77">
        <v>-150.30600000000001</v>
      </c>
      <c r="F305" s="77" t="s">
        <v>451</v>
      </c>
      <c r="G305" s="77" t="s">
        <v>468</v>
      </c>
      <c r="H305" s="77" t="s">
        <v>1008</v>
      </c>
      <c r="I305" s="77" t="s">
        <v>451</v>
      </c>
      <c r="J305" s="77" t="s">
        <v>504</v>
      </c>
      <c r="K305" s="77" t="s">
        <v>451</v>
      </c>
      <c r="L305" s="77" t="s">
        <v>457</v>
      </c>
      <c r="M305" s="62" t="str">
        <f t="shared" si="4"/>
        <v>View on Google Map</v>
      </c>
    </row>
    <row r="306" spans="1:13">
      <c r="A306" s="77">
        <v>33</v>
      </c>
      <c r="B306" s="77" t="s">
        <v>1009</v>
      </c>
      <c r="C306" s="77" t="s">
        <v>451</v>
      </c>
      <c r="D306" s="77">
        <v>68.908000000000001</v>
      </c>
      <c r="E306" s="77">
        <v>-150.114</v>
      </c>
      <c r="F306" s="77" t="s">
        <v>451</v>
      </c>
      <c r="G306" s="77" t="s">
        <v>468</v>
      </c>
      <c r="H306" s="77" t="s">
        <v>1010</v>
      </c>
      <c r="I306" s="77" t="s">
        <v>451</v>
      </c>
      <c r="J306" s="77" t="s">
        <v>504</v>
      </c>
      <c r="K306" s="77" t="s">
        <v>451</v>
      </c>
      <c r="L306" s="77" t="s">
        <v>457</v>
      </c>
      <c r="M306" s="62" t="str">
        <f t="shared" si="4"/>
        <v>View on Google Map</v>
      </c>
    </row>
    <row r="307" spans="1:13">
      <c r="A307" s="77">
        <v>1</v>
      </c>
      <c r="B307" s="77" t="s">
        <v>1011</v>
      </c>
      <c r="C307" s="77" t="s">
        <v>451</v>
      </c>
      <c r="D307" s="77" t="s">
        <v>451</v>
      </c>
      <c r="E307" s="77" t="s">
        <v>451</v>
      </c>
      <c r="F307" s="77">
        <v>731</v>
      </c>
      <c r="G307" s="77" t="s">
        <v>468</v>
      </c>
      <c r="H307" s="77" t="s">
        <v>1012</v>
      </c>
      <c r="I307" s="77" t="s">
        <v>451</v>
      </c>
      <c r="J307" s="77" t="s">
        <v>469</v>
      </c>
      <c r="K307" s="77" t="s">
        <v>451</v>
      </c>
      <c r="L307" s="77" t="s">
        <v>451</v>
      </c>
      <c r="M307" s="62" t="str">
        <f t="shared" si="4"/>
        <v>View on Google Map</v>
      </c>
    </row>
    <row r="308" spans="1:13">
      <c r="A308" s="77">
        <v>19</v>
      </c>
      <c r="B308" s="77" t="s">
        <v>1013</v>
      </c>
      <c r="C308" s="77" t="s">
        <v>451</v>
      </c>
      <c r="D308" s="77" t="s">
        <v>451</v>
      </c>
      <c r="E308" s="77" t="s">
        <v>451</v>
      </c>
      <c r="F308" s="77" t="s">
        <v>451</v>
      </c>
      <c r="G308" s="77" t="s">
        <v>468</v>
      </c>
      <c r="H308" s="77" t="s">
        <v>1014</v>
      </c>
      <c r="I308" s="77" t="s">
        <v>451</v>
      </c>
      <c r="J308" s="77" t="s">
        <v>469</v>
      </c>
      <c r="K308" s="77" t="s">
        <v>451</v>
      </c>
      <c r="L308" s="77" t="s">
        <v>451</v>
      </c>
      <c r="M308" s="62" t="str">
        <f t="shared" si="4"/>
        <v>View on Google Map</v>
      </c>
    </row>
    <row r="309" spans="1:13">
      <c r="A309" s="77">
        <v>16</v>
      </c>
      <c r="B309" s="77" t="s">
        <v>1015</v>
      </c>
      <c r="C309" s="77" t="s">
        <v>451</v>
      </c>
      <c r="D309" s="77" t="s">
        <v>451</v>
      </c>
      <c r="E309" s="77" t="s">
        <v>451</v>
      </c>
      <c r="F309" s="77" t="s">
        <v>451</v>
      </c>
      <c r="G309" s="77" t="s">
        <v>468</v>
      </c>
      <c r="H309" s="77" t="s">
        <v>451</v>
      </c>
      <c r="I309" s="77" t="s">
        <v>451</v>
      </c>
      <c r="J309" s="77" t="s">
        <v>469</v>
      </c>
      <c r="K309" s="77" t="s">
        <v>451</v>
      </c>
      <c r="L309" s="77" t="s">
        <v>451</v>
      </c>
      <c r="M309" s="62" t="str">
        <f t="shared" si="4"/>
        <v>View on Google Map</v>
      </c>
    </row>
    <row r="310" spans="1:13">
      <c r="A310" s="77">
        <v>1198</v>
      </c>
      <c r="B310" s="77" t="s">
        <v>1016</v>
      </c>
      <c r="C310" s="77" t="s">
        <v>627</v>
      </c>
      <c r="D310" s="77">
        <v>69.297460909999998</v>
      </c>
      <c r="E310" s="77">
        <v>-150.32340117999999</v>
      </c>
      <c r="F310" s="77" t="s">
        <v>451</v>
      </c>
      <c r="G310" s="77" t="s">
        <v>452</v>
      </c>
      <c r="H310" s="77" t="s">
        <v>451</v>
      </c>
      <c r="I310" s="77" t="s">
        <v>451</v>
      </c>
      <c r="J310" s="77" t="s">
        <v>456</v>
      </c>
      <c r="K310" s="77" t="s">
        <v>451</v>
      </c>
      <c r="L310" s="77" t="s">
        <v>457</v>
      </c>
      <c r="M310" s="62" t="str">
        <f t="shared" si="4"/>
        <v>View on Google Map</v>
      </c>
    </row>
    <row r="311" spans="1:13">
      <c r="A311" s="77">
        <v>135</v>
      </c>
      <c r="B311" s="77" t="s">
        <v>1017</v>
      </c>
      <c r="C311" s="77" t="s">
        <v>451</v>
      </c>
      <c r="D311" s="77">
        <v>70.333333333333329</v>
      </c>
      <c r="E311" s="77">
        <v>-148.80000000000001</v>
      </c>
      <c r="F311" s="77">
        <v>4</v>
      </c>
      <c r="G311" s="77" t="s">
        <v>460</v>
      </c>
      <c r="H311" s="77" t="s">
        <v>1018</v>
      </c>
      <c r="I311" s="77" t="s">
        <v>451</v>
      </c>
      <c r="J311" s="77" t="s">
        <v>469</v>
      </c>
      <c r="K311" s="77" t="s">
        <v>451</v>
      </c>
      <c r="L311" s="77" t="s">
        <v>470</v>
      </c>
      <c r="M311" s="62" t="str">
        <f t="shared" si="4"/>
        <v>View on Google Map</v>
      </c>
    </row>
    <row r="312" spans="1:13">
      <c r="A312" s="77">
        <v>126</v>
      </c>
      <c r="B312" s="77" t="s">
        <v>1019</v>
      </c>
      <c r="C312" s="77" t="s">
        <v>451</v>
      </c>
      <c r="D312" s="77">
        <v>68.733333333333334</v>
      </c>
      <c r="E312" s="77">
        <v>-148.93333333333334</v>
      </c>
      <c r="F312" s="77">
        <v>556</v>
      </c>
      <c r="G312" s="77" t="s">
        <v>460</v>
      </c>
      <c r="H312" s="77" t="s">
        <v>1020</v>
      </c>
      <c r="I312" s="77" t="s">
        <v>451</v>
      </c>
      <c r="J312" s="77" t="s">
        <v>469</v>
      </c>
      <c r="K312" s="77" t="s">
        <v>451</v>
      </c>
      <c r="L312" s="77" t="s">
        <v>470</v>
      </c>
      <c r="M312" s="62" t="str">
        <f t="shared" si="4"/>
        <v>View on Google Map</v>
      </c>
    </row>
    <row r="313" spans="1:13">
      <c r="A313" s="77">
        <v>134</v>
      </c>
      <c r="B313" s="77" t="s">
        <v>1021</v>
      </c>
      <c r="C313" s="77" t="s">
        <v>451</v>
      </c>
      <c r="D313" s="77">
        <v>70.349999999999994</v>
      </c>
      <c r="E313" s="77">
        <v>-148.58333333333334</v>
      </c>
      <c r="F313" s="77">
        <v>2</v>
      </c>
      <c r="G313" s="77" t="s">
        <v>460</v>
      </c>
      <c r="H313" s="77" t="s">
        <v>1022</v>
      </c>
      <c r="I313" s="77" t="s">
        <v>451</v>
      </c>
      <c r="J313" s="77" t="s">
        <v>469</v>
      </c>
      <c r="K313" s="77" t="s">
        <v>451</v>
      </c>
      <c r="L313" s="77" t="s">
        <v>470</v>
      </c>
      <c r="M313" s="62" t="str">
        <f t="shared" si="4"/>
        <v>View on Google Map</v>
      </c>
    </row>
    <row r="314" spans="1:13">
      <c r="A314" s="77">
        <v>128</v>
      </c>
      <c r="B314" s="77" t="s">
        <v>1023</v>
      </c>
      <c r="C314" s="77" t="s">
        <v>451</v>
      </c>
      <c r="D314" s="77">
        <v>69.033333333333331</v>
      </c>
      <c r="E314" s="77">
        <v>-148.85</v>
      </c>
      <c r="F314" s="77">
        <v>319</v>
      </c>
      <c r="G314" s="77" t="s">
        <v>460</v>
      </c>
      <c r="H314" s="77" t="s">
        <v>1024</v>
      </c>
      <c r="I314" s="77" t="s">
        <v>451</v>
      </c>
      <c r="J314" s="77" t="s">
        <v>469</v>
      </c>
      <c r="K314" s="77" t="s">
        <v>451</v>
      </c>
      <c r="L314" s="77" t="s">
        <v>470</v>
      </c>
      <c r="M314" s="62" t="str">
        <f t="shared" si="4"/>
        <v>View on Google Map</v>
      </c>
    </row>
    <row r="315" spans="1:13">
      <c r="A315" s="77">
        <v>139</v>
      </c>
      <c r="B315" s="77" t="s">
        <v>1025</v>
      </c>
      <c r="C315" s="77" t="s">
        <v>451</v>
      </c>
      <c r="D315" s="77">
        <v>70.216666666666669</v>
      </c>
      <c r="E315" s="77">
        <v>-142.46666666666701</v>
      </c>
      <c r="F315" s="77">
        <v>15</v>
      </c>
      <c r="G315" s="77" t="s">
        <v>460</v>
      </c>
      <c r="H315" s="77" t="s">
        <v>1026</v>
      </c>
      <c r="I315" s="77" t="s">
        <v>1027</v>
      </c>
      <c r="J315" s="77" t="s">
        <v>469</v>
      </c>
      <c r="K315" s="77" t="s">
        <v>451</v>
      </c>
      <c r="L315" s="77" t="s">
        <v>470</v>
      </c>
      <c r="M315" s="62" t="str">
        <f t="shared" si="4"/>
        <v>View on Google Map</v>
      </c>
    </row>
    <row r="316" spans="1:13">
      <c r="A316" s="77">
        <v>127</v>
      </c>
      <c r="B316" s="77" t="s">
        <v>1028</v>
      </c>
      <c r="C316" s="77" t="s">
        <v>451</v>
      </c>
      <c r="D316" s="77">
        <v>68.733333333333334</v>
      </c>
      <c r="E316" s="77">
        <v>-148.96666666666667</v>
      </c>
      <c r="F316" s="77">
        <v>597</v>
      </c>
      <c r="G316" s="77" t="s">
        <v>460</v>
      </c>
      <c r="H316" s="77" t="s">
        <v>1029</v>
      </c>
      <c r="I316" s="77" t="s">
        <v>451</v>
      </c>
      <c r="J316" s="77" t="s">
        <v>469</v>
      </c>
      <c r="K316" s="77" t="s">
        <v>451</v>
      </c>
      <c r="L316" s="77" t="s">
        <v>470</v>
      </c>
      <c r="M316" s="62" t="str">
        <f t="shared" si="4"/>
        <v>View on Google Map</v>
      </c>
    </row>
    <row r="317" spans="1:13">
      <c r="A317" s="77">
        <v>133</v>
      </c>
      <c r="B317" s="77" t="s">
        <v>1030</v>
      </c>
      <c r="C317" s="77" t="s">
        <v>451</v>
      </c>
      <c r="D317" s="77">
        <v>70.36666666666666</v>
      </c>
      <c r="E317" s="77">
        <v>-148.5</v>
      </c>
      <c r="F317" s="77">
        <v>2</v>
      </c>
      <c r="G317" s="77" t="s">
        <v>460</v>
      </c>
      <c r="H317" s="77" t="s">
        <v>1031</v>
      </c>
      <c r="I317" s="77" t="s">
        <v>451</v>
      </c>
      <c r="J317" s="77" t="s">
        <v>469</v>
      </c>
      <c r="K317" s="77" t="s">
        <v>451</v>
      </c>
      <c r="L317" s="77" t="s">
        <v>470</v>
      </c>
      <c r="M317" s="62" t="str">
        <f t="shared" si="4"/>
        <v>View on Google Map</v>
      </c>
    </row>
    <row r="318" spans="1:13">
      <c r="A318" s="77">
        <v>140</v>
      </c>
      <c r="B318" s="77" t="s">
        <v>1032</v>
      </c>
      <c r="C318" s="77" t="s">
        <v>451</v>
      </c>
      <c r="D318" s="77">
        <v>69.583333333333329</v>
      </c>
      <c r="E318" s="77">
        <v>-148.63333333333301</v>
      </c>
      <c r="F318" s="77">
        <v>145</v>
      </c>
      <c r="G318" s="77" t="s">
        <v>460</v>
      </c>
      <c r="H318" s="77" t="s">
        <v>1033</v>
      </c>
      <c r="I318" s="77" t="s">
        <v>1034</v>
      </c>
      <c r="J318" s="77" t="s">
        <v>469</v>
      </c>
      <c r="K318" s="77" t="s">
        <v>451</v>
      </c>
      <c r="L318" s="77" t="s">
        <v>470</v>
      </c>
      <c r="M318" s="62" t="str">
        <f t="shared" si="4"/>
        <v>View on Google Map</v>
      </c>
    </row>
    <row r="319" spans="1:13">
      <c r="A319" s="77">
        <v>247</v>
      </c>
      <c r="B319" s="77" t="s">
        <v>1035</v>
      </c>
      <c r="C319" s="77" t="s">
        <v>451</v>
      </c>
      <c r="D319" s="77">
        <v>68.68770383333333</v>
      </c>
      <c r="E319" s="77">
        <v>-150.0408535</v>
      </c>
      <c r="F319" s="77">
        <v>670</v>
      </c>
      <c r="G319" s="77" t="s">
        <v>460</v>
      </c>
      <c r="H319" s="77" t="s">
        <v>1036</v>
      </c>
      <c r="I319" s="77" t="s">
        <v>451</v>
      </c>
      <c r="J319" s="77" t="s">
        <v>734</v>
      </c>
      <c r="K319" s="77" t="s">
        <v>451</v>
      </c>
      <c r="L319" s="77" t="s">
        <v>735</v>
      </c>
      <c r="M319" s="62" t="str">
        <f t="shared" si="4"/>
        <v>View on Google Map</v>
      </c>
    </row>
    <row r="320" spans="1:13">
      <c r="A320" s="77">
        <v>248</v>
      </c>
      <c r="B320" s="77" t="s">
        <v>1037</v>
      </c>
      <c r="C320" s="77" t="s">
        <v>451</v>
      </c>
      <c r="D320" s="77">
        <v>68.692658499999993</v>
      </c>
      <c r="E320" s="77">
        <v>-150.05112349999999</v>
      </c>
      <c r="F320" s="77">
        <v>670</v>
      </c>
      <c r="G320" s="77" t="s">
        <v>460</v>
      </c>
      <c r="H320" s="77" t="s">
        <v>1038</v>
      </c>
      <c r="I320" s="77" t="s">
        <v>451</v>
      </c>
      <c r="J320" s="77" t="s">
        <v>734</v>
      </c>
      <c r="K320" s="77" t="s">
        <v>451</v>
      </c>
      <c r="L320" s="77" t="s">
        <v>735</v>
      </c>
      <c r="M320" s="62" t="str">
        <f t="shared" si="4"/>
        <v>View on Google Map</v>
      </c>
    </row>
    <row r="321" spans="1:13">
      <c r="A321" s="77">
        <v>249</v>
      </c>
      <c r="B321" s="77" t="s">
        <v>1039</v>
      </c>
      <c r="C321" s="77" t="s">
        <v>451</v>
      </c>
      <c r="D321" s="77" t="s">
        <v>451</v>
      </c>
      <c r="E321" s="77" t="s">
        <v>451</v>
      </c>
      <c r="F321" s="77">
        <v>670</v>
      </c>
      <c r="G321" s="77" t="s">
        <v>460</v>
      </c>
      <c r="H321" s="77" t="s">
        <v>1040</v>
      </c>
      <c r="I321" s="77" t="s">
        <v>451</v>
      </c>
      <c r="J321" s="77" t="s">
        <v>734</v>
      </c>
      <c r="K321" s="77" t="s">
        <v>451</v>
      </c>
      <c r="L321" s="77" t="s">
        <v>735</v>
      </c>
      <c r="M321" s="62" t="str">
        <f t="shared" si="4"/>
        <v>View on Google Map</v>
      </c>
    </row>
    <row r="322" spans="1:13">
      <c r="A322" s="77">
        <v>250</v>
      </c>
      <c r="B322" s="77" t="s">
        <v>1041</v>
      </c>
      <c r="C322" s="77" t="s">
        <v>451</v>
      </c>
      <c r="D322" s="77">
        <v>68.694566333333327</v>
      </c>
      <c r="E322" s="77">
        <v>-150.05547983333301</v>
      </c>
      <c r="F322" s="77">
        <v>670</v>
      </c>
      <c r="G322" s="77" t="s">
        <v>460</v>
      </c>
      <c r="H322" s="77" t="s">
        <v>1042</v>
      </c>
      <c r="I322" s="77" t="s">
        <v>451</v>
      </c>
      <c r="J322" s="77" t="s">
        <v>734</v>
      </c>
      <c r="K322" s="77" t="s">
        <v>451</v>
      </c>
      <c r="L322" s="77" t="s">
        <v>735</v>
      </c>
      <c r="M322" s="62" t="str">
        <f t="shared" si="4"/>
        <v>View on Google Map</v>
      </c>
    </row>
    <row r="323" spans="1:13">
      <c r="A323" s="77">
        <v>251</v>
      </c>
      <c r="B323" s="77" t="s">
        <v>1043</v>
      </c>
      <c r="C323" s="77" t="s">
        <v>451</v>
      </c>
      <c r="D323" s="77" t="s">
        <v>451</v>
      </c>
      <c r="E323" s="77" t="s">
        <v>451</v>
      </c>
      <c r="F323" s="77">
        <v>580</v>
      </c>
      <c r="G323" s="77" t="s">
        <v>460</v>
      </c>
      <c r="H323" s="77" t="s">
        <v>1044</v>
      </c>
      <c r="I323" s="77" t="s">
        <v>451</v>
      </c>
      <c r="J323" s="77" t="s">
        <v>734</v>
      </c>
      <c r="K323" s="77" t="s">
        <v>451</v>
      </c>
      <c r="L323" s="77" t="s">
        <v>735</v>
      </c>
      <c r="M323" s="62" t="str">
        <f t="shared" ref="M323:M386" si="5">HYPERLINK("http://maps.google.com/maps?q="&amp;D323&amp;","&amp;E323,"View on Google Map")</f>
        <v>View on Google Map</v>
      </c>
    </row>
    <row r="324" spans="1:13">
      <c r="A324" s="77">
        <v>252</v>
      </c>
      <c r="B324" s="77" t="s">
        <v>1045</v>
      </c>
      <c r="C324" s="77" t="s">
        <v>451</v>
      </c>
      <c r="D324" s="77" t="s">
        <v>451</v>
      </c>
      <c r="E324" s="77" t="s">
        <v>451</v>
      </c>
      <c r="F324" s="77">
        <v>550</v>
      </c>
      <c r="G324" s="77" t="s">
        <v>460</v>
      </c>
      <c r="H324" s="77" t="s">
        <v>1046</v>
      </c>
      <c r="I324" s="77" t="s">
        <v>451</v>
      </c>
      <c r="J324" s="77" t="s">
        <v>734</v>
      </c>
      <c r="K324" s="77" t="s">
        <v>451</v>
      </c>
      <c r="L324" s="77" t="s">
        <v>735</v>
      </c>
      <c r="M324" s="62" t="str">
        <f t="shared" si="5"/>
        <v>View on Google Map</v>
      </c>
    </row>
    <row r="325" spans="1:13">
      <c r="A325" s="77">
        <v>253</v>
      </c>
      <c r="B325" s="77" t="s">
        <v>1047</v>
      </c>
      <c r="C325" s="77" t="s">
        <v>451</v>
      </c>
      <c r="D325" s="77" t="s">
        <v>451</v>
      </c>
      <c r="E325" s="77" t="s">
        <v>451</v>
      </c>
      <c r="F325" s="77">
        <v>550</v>
      </c>
      <c r="G325" s="77" t="s">
        <v>460</v>
      </c>
      <c r="H325" s="77" t="s">
        <v>1048</v>
      </c>
      <c r="I325" s="77" t="s">
        <v>451</v>
      </c>
      <c r="J325" s="77" t="s">
        <v>734</v>
      </c>
      <c r="K325" s="77" t="s">
        <v>451</v>
      </c>
      <c r="L325" s="77" t="s">
        <v>735</v>
      </c>
      <c r="M325" s="62" t="str">
        <f t="shared" si="5"/>
        <v>View on Google Map</v>
      </c>
    </row>
    <row r="326" spans="1:13">
      <c r="A326" s="77">
        <v>254</v>
      </c>
      <c r="B326" s="77" t="s">
        <v>1049</v>
      </c>
      <c r="C326" s="77" t="s">
        <v>451</v>
      </c>
      <c r="D326" s="77" t="s">
        <v>451</v>
      </c>
      <c r="E326" s="77" t="s">
        <v>451</v>
      </c>
      <c r="F326" s="77">
        <v>520</v>
      </c>
      <c r="G326" s="77" t="s">
        <v>460</v>
      </c>
      <c r="H326" s="77" t="s">
        <v>1050</v>
      </c>
      <c r="I326" s="77" t="s">
        <v>451</v>
      </c>
      <c r="J326" s="77" t="s">
        <v>734</v>
      </c>
      <c r="K326" s="77" t="s">
        <v>451</v>
      </c>
      <c r="L326" s="77" t="s">
        <v>735</v>
      </c>
      <c r="M326" s="62" t="str">
        <f t="shared" si="5"/>
        <v>View on Google Map</v>
      </c>
    </row>
    <row r="327" spans="1:13">
      <c r="A327" s="77">
        <v>255</v>
      </c>
      <c r="B327" s="77" t="s">
        <v>1051</v>
      </c>
      <c r="C327" s="77" t="s">
        <v>451</v>
      </c>
      <c r="D327" s="77" t="s">
        <v>451</v>
      </c>
      <c r="E327" s="77" t="s">
        <v>451</v>
      </c>
      <c r="F327" s="77">
        <v>520</v>
      </c>
      <c r="G327" s="77" t="s">
        <v>460</v>
      </c>
      <c r="H327" s="77" t="s">
        <v>1052</v>
      </c>
      <c r="I327" s="77" t="s">
        <v>451</v>
      </c>
      <c r="J327" s="77" t="s">
        <v>734</v>
      </c>
      <c r="K327" s="77" t="s">
        <v>451</v>
      </c>
      <c r="L327" s="77" t="s">
        <v>735</v>
      </c>
      <c r="M327" s="62" t="str">
        <f t="shared" si="5"/>
        <v>View on Google Map</v>
      </c>
    </row>
    <row r="328" spans="1:13">
      <c r="A328" s="77">
        <v>256</v>
      </c>
      <c r="B328" s="77" t="s">
        <v>1053</v>
      </c>
      <c r="C328" s="77" t="s">
        <v>451</v>
      </c>
      <c r="D328" s="77" t="s">
        <v>451</v>
      </c>
      <c r="E328" s="77" t="s">
        <v>451</v>
      </c>
      <c r="F328" s="77">
        <v>760</v>
      </c>
      <c r="G328" s="77" t="s">
        <v>460</v>
      </c>
      <c r="H328" s="77" t="s">
        <v>1054</v>
      </c>
      <c r="I328" s="77" t="s">
        <v>451</v>
      </c>
      <c r="J328" s="77" t="s">
        <v>734</v>
      </c>
      <c r="K328" s="77" t="s">
        <v>451</v>
      </c>
      <c r="L328" s="77" t="s">
        <v>735</v>
      </c>
      <c r="M328" s="62" t="str">
        <f t="shared" si="5"/>
        <v>View on Google Map</v>
      </c>
    </row>
    <row r="329" spans="1:13">
      <c r="A329" s="77">
        <v>257</v>
      </c>
      <c r="B329" s="77" t="s">
        <v>1055</v>
      </c>
      <c r="C329" s="77" t="s">
        <v>451</v>
      </c>
      <c r="D329" s="77">
        <v>68.701666666666668</v>
      </c>
      <c r="E329" s="77">
        <v>-149.743333333333</v>
      </c>
      <c r="F329" s="77">
        <v>760</v>
      </c>
      <c r="G329" s="77" t="s">
        <v>460</v>
      </c>
      <c r="H329" s="77" t="s">
        <v>1056</v>
      </c>
      <c r="I329" s="77" t="s">
        <v>451</v>
      </c>
      <c r="J329" s="77" t="s">
        <v>734</v>
      </c>
      <c r="K329" s="77" t="s">
        <v>451</v>
      </c>
      <c r="L329" s="77" t="s">
        <v>735</v>
      </c>
      <c r="M329" s="62" t="str">
        <f t="shared" si="5"/>
        <v>View on Google Map</v>
      </c>
    </row>
    <row r="330" spans="1:13">
      <c r="A330" s="77">
        <v>258</v>
      </c>
      <c r="B330" s="77" t="s">
        <v>1057</v>
      </c>
      <c r="C330" s="77" t="s">
        <v>451</v>
      </c>
      <c r="D330" s="77">
        <v>68.704999999999998</v>
      </c>
      <c r="E330" s="77">
        <v>-149.731666666667</v>
      </c>
      <c r="F330" s="77">
        <v>730</v>
      </c>
      <c r="G330" s="77" t="s">
        <v>460</v>
      </c>
      <c r="H330" s="77" t="s">
        <v>1058</v>
      </c>
      <c r="I330" s="77" t="s">
        <v>451</v>
      </c>
      <c r="J330" s="77" t="s">
        <v>734</v>
      </c>
      <c r="K330" s="77" t="s">
        <v>451</v>
      </c>
      <c r="L330" s="77" t="s">
        <v>735</v>
      </c>
      <c r="M330" s="62" t="str">
        <f t="shared" si="5"/>
        <v>View on Google Map</v>
      </c>
    </row>
    <row r="331" spans="1:13">
      <c r="A331" s="77">
        <v>259</v>
      </c>
      <c r="B331" s="77" t="s">
        <v>1059</v>
      </c>
      <c r="C331" s="77" t="s">
        <v>451</v>
      </c>
      <c r="D331" s="77">
        <v>68.703333333333333</v>
      </c>
      <c r="E331" s="77">
        <v>-149.715</v>
      </c>
      <c r="F331" s="77">
        <v>690</v>
      </c>
      <c r="G331" s="77" t="s">
        <v>460</v>
      </c>
      <c r="H331" s="77" t="s">
        <v>1060</v>
      </c>
      <c r="I331" s="77" t="s">
        <v>451</v>
      </c>
      <c r="J331" s="77" t="s">
        <v>734</v>
      </c>
      <c r="K331" s="77" t="s">
        <v>451</v>
      </c>
      <c r="L331" s="77" t="s">
        <v>735</v>
      </c>
      <c r="M331" s="62" t="str">
        <f t="shared" si="5"/>
        <v>View on Google Map</v>
      </c>
    </row>
    <row r="332" spans="1:13">
      <c r="A332" s="77">
        <v>260</v>
      </c>
      <c r="B332" s="77" t="s">
        <v>1061</v>
      </c>
      <c r="C332" s="77" t="s">
        <v>451</v>
      </c>
      <c r="D332" s="77" t="s">
        <v>451</v>
      </c>
      <c r="E332" s="77" t="s">
        <v>451</v>
      </c>
      <c r="F332" s="77">
        <v>650</v>
      </c>
      <c r="G332" s="77" t="s">
        <v>460</v>
      </c>
      <c r="H332" s="77" t="s">
        <v>1062</v>
      </c>
      <c r="I332" s="77" t="s">
        <v>451</v>
      </c>
      <c r="J332" s="77" t="s">
        <v>734</v>
      </c>
      <c r="K332" s="77" t="s">
        <v>451</v>
      </c>
      <c r="L332" s="77" t="s">
        <v>735</v>
      </c>
      <c r="M332" s="62" t="str">
        <f t="shared" si="5"/>
        <v>View on Google Map</v>
      </c>
    </row>
    <row r="333" spans="1:13">
      <c r="A333" s="77">
        <v>261</v>
      </c>
      <c r="B333" s="77" t="s">
        <v>1063</v>
      </c>
      <c r="C333" s="77" t="s">
        <v>451</v>
      </c>
      <c r="D333" s="77">
        <v>68.707980000000006</v>
      </c>
      <c r="E333" s="77">
        <v>-149.71510000000001</v>
      </c>
      <c r="F333" s="77">
        <v>650</v>
      </c>
      <c r="G333" s="77" t="s">
        <v>460</v>
      </c>
      <c r="H333" s="77" t="s">
        <v>1064</v>
      </c>
      <c r="I333" s="77" t="s">
        <v>451</v>
      </c>
      <c r="J333" s="77" t="s">
        <v>734</v>
      </c>
      <c r="K333" s="77" t="s">
        <v>451</v>
      </c>
      <c r="L333" s="77" t="s">
        <v>735</v>
      </c>
      <c r="M333" s="62" t="str">
        <f t="shared" si="5"/>
        <v>View on Google Map</v>
      </c>
    </row>
    <row r="334" spans="1:13">
      <c r="A334" s="77">
        <v>262</v>
      </c>
      <c r="B334" s="77" t="s">
        <v>1065</v>
      </c>
      <c r="C334" s="77" t="s">
        <v>451</v>
      </c>
      <c r="D334" s="77">
        <v>68.707849999999993</v>
      </c>
      <c r="E334" s="77">
        <v>-149.69963000000001</v>
      </c>
      <c r="F334" s="77">
        <v>650</v>
      </c>
      <c r="G334" s="77" t="s">
        <v>460</v>
      </c>
      <c r="H334" s="77" t="s">
        <v>1066</v>
      </c>
      <c r="I334" s="77" t="s">
        <v>451</v>
      </c>
      <c r="J334" s="77" t="s">
        <v>734</v>
      </c>
      <c r="K334" s="77" t="s">
        <v>451</v>
      </c>
      <c r="L334" s="77" t="s">
        <v>735</v>
      </c>
      <c r="M334" s="62" t="str">
        <f t="shared" si="5"/>
        <v>View on Google Map</v>
      </c>
    </row>
    <row r="335" spans="1:13">
      <c r="A335" s="77">
        <v>263</v>
      </c>
      <c r="B335" s="77" t="s">
        <v>1067</v>
      </c>
      <c r="C335" s="77" t="s">
        <v>451</v>
      </c>
      <c r="D335" s="77">
        <v>68.810460000000006</v>
      </c>
      <c r="E335" s="77">
        <v>-149.05207999999999</v>
      </c>
      <c r="F335" s="77">
        <v>650</v>
      </c>
      <c r="G335" s="77" t="s">
        <v>460</v>
      </c>
      <c r="H335" s="77" t="s">
        <v>1068</v>
      </c>
      <c r="I335" s="77" t="s">
        <v>451</v>
      </c>
      <c r="J335" s="77" t="s">
        <v>734</v>
      </c>
      <c r="K335" s="77" t="s">
        <v>451</v>
      </c>
      <c r="L335" s="77" t="s">
        <v>735</v>
      </c>
      <c r="M335" s="62" t="str">
        <f t="shared" si="5"/>
        <v>View on Google Map</v>
      </c>
    </row>
    <row r="336" spans="1:13">
      <c r="A336" s="77">
        <v>264</v>
      </c>
      <c r="B336" s="77" t="s">
        <v>1069</v>
      </c>
      <c r="C336" s="77" t="s">
        <v>451</v>
      </c>
      <c r="D336" s="77" t="s">
        <v>451</v>
      </c>
      <c r="E336" s="77" t="s">
        <v>451</v>
      </c>
      <c r="F336" s="77">
        <v>650</v>
      </c>
      <c r="G336" s="77" t="s">
        <v>460</v>
      </c>
      <c r="H336" s="77" t="s">
        <v>1070</v>
      </c>
      <c r="I336" s="77" t="s">
        <v>451</v>
      </c>
      <c r="J336" s="77" t="s">
        <v>734</v>
      </c>
      <c r="K336" s="77" t="s">
        <v>451</v>
      </c>
      <c r="L336" s="77" t="s">
        <v>735</v>
      </c>
      <c r="M336" s="62" t="str">
        <f t="shared" si="5"/>
        <v>View on Google Map</v>
      </c>
    </row>
    <row r="337" spans="1:13">
      <c r="A337" s="77">
        <v>265</v>
      </c>
      <c r="B337" s="77" t="s">
        <v>1071</v>
      </c>
      <c r="C337" s="77" t="s">
        <v>451</v>
      </c>
      <c r="D337" s="77" t="s">
        <v>451</v>
      </c>
      <c r="E337" s="77" t="s">
        <v>451</v>
      </c>
      <c r="F337" s="77">
        <v>650</v>
      </c>
      <c r="G337" s="77" t="s">
        <v>460</v>
      </c>
      <c r="H337" s="77" t="s">
        <v>1072</v>
      </c>
      <c r="I337" s="77" t="s">
        <v>451</v>
      </c>
      <c r="J337" s="77" t="s">
        <v>734</v>
      </c>
      <c r="K337" s="77" t="s">
        <v>451</v>
      </c>
      <c r="L337" s="77" t="s">
        <v>735</v>
      </c>
      <c r="M337" s="62" t="str">
        <f t="shared" si="5"/>
        <v>View on Google Map</v>
      </c>
    </row>
    <row r="338" spans="1:13">
      <c r="A338" s="77">
        <v>266</v>
      </c>
      <c r="B338" s="77" t="s">
        <v>1073</v>
      </c>
      <c r="C338" s="77" t="s">
        <v>451</v>
      </c>
      <c r="D338" s="77" t="s">
        <v>451</v>
      </c>
      <c r="E338" s="77" t="s">
        <v>451</v>
      </c>
      <c r="F338" s="77">
        <v>650</v>
      </c>
      <c r="G338" s="77" t="s">
        <v>460</v>
      </c>
      <c r="H338" s="77" t="s">
        <v>1074</v>
      </c>
      <c r="I338" s="77" t="s">
        <v>451</v>
      </c>
      <c r="J338" s="77" t="s">
        <v>734</v>
      </c>
      <c r="K338" s="77" t="s">
        <v>451</v>
      </c>
      <c r="L338" s="77" t="s">
        <v>735</v>
      </c>
      <c r="M338" s="62" t="str">
        <f t="shared" si="5"/>
        <v>View on Google Map</v>
      </c>
    </row>
    <row r="339" spans="1:13">
      <c r="A339" s="77">
        <v>267</v>
      </c>
      <c r="B339" s="77" t="s">
        <v>1075</v>
      </c>
      <c r="C339" s="77" t="s">
        <v>451</v>
      </c>
      <c r="D339" s="77" t="s">
        <v>451</v>
      </c>
      <c r="E339" s="77" t="s">
        <v>451</v>
      </c>
      <c r="F339" s="77">
        <v>630</v>
      </c>
      <c r="G339" s="77" t="s">
        <v>460</v>
      </c>
      <c r="H339" s="77" t="s">
        <v>1076</v>
      </c>
      <c r="I339" s="77" t="s">
        <v>451</v>
      </c>
      <c r="J339" s="77" t="s">
        <v>734</v>
      </c>
      <c r="K339" s="77" t="s">
        <v>451</v>
      </c>
      <c r="L339" s="77" t="s">
        <v>735</v>
      </c>
      <c r="M339" s="62" t="str">
        <f t="shared" si="5"/>
        <v>View on Google Map</v>
      </c>
    </row>
    <row r="340" spans="1:13">
      <c r="A340" s="77">
        <v>268</v>
      </c>
      <c r="B340" s="77" t="s">
        <v>1077</v>
      </c>
      <c r="C340" s="77" t="s">
        <v>451</v>
      </c>
      <c r="D340" s="77" t="s">
        <v>451</v>
      </c>
      <c r="E340" s="77" t="s">
        <v>451</v>
      </c>
      <c r="F340" s="77">
        <v>620</v>
      </c>
      <c r="G340" s="77" t="s">
        <v>460</v>
      </c>
      <c r="H340" s="77" t="s">
        <v>1078</v>
      </c>
      <c r="I340" s="77" t="s">
        <v>451</v>
      </c>
      <c r="J340" s="77" t="s">
        <v>734</v>
      </c>
      <c r="K340" s="77" t="s">
        <v>451</v>
      </c>
      <c r="L340" s="77" t="s">
        <v>735</v>
      </c>
      <c r="M340" s="62" t="str">
        <f t="shared" si="5"/>
        <v>View on Google Map</v>
      </c>
    </row>
    <row r="341" spans="1:13">
      <c r="A341" s="77">
        <v>269</v>
      </c>
      <c r="B341" s="77" t="s">
        <v>1079</v>
      </c>
      <c r="C341" s="77" t="s">
        <v>451</v>
      </c>
      <c r="D341" s="77" t="s">
        <v>451</v>
      </c>
      <c r="E341" s="77" t="s">
        <v>451</v>
      </c>
      <c r="F341" s="77">
        <v>590</v>
      </c>
      <c r="G341" s="77" t="s">
        <v>460</v>
      </c>
      <c r="H341" s="77" t="s">
        <v>1080</v>
      </c>
      <c r="I341" s="77" t="s">
        <v>451</v>
      </c>
      <c r="J341" s="77" t="s">
        <v>734</v>
      </c>
      <c r="K341" s="77" t="s">
        <v>451</v>
      </c>
      <c r="L341" s="77" t="s">
        <v>735</v>
      </c>
      <c r="M341" s="62" t="str">
        <f t="shared" si="5"/>
        <v>View on Google Map</v>
      </c>
    </row>
    <row r="342" spans="1:13">
      <c r="A342" s="77">
        <v>270</v>
      </c>
      <c r="B342" s="77" t="s">
        <v>1081</v>
      </c>
      <c r="C342" s="77" t="s">
        <v>451</v>
      </c>
      <c r="D342" s="77" t="s">
        <v>451</v>
      </c>
      <c r="E342" s="77" t="s">
        <v>451</v>
      </c>
      <c r="F342" s="77">
        <v>590</v>
      </c>
      <c r="G342" s="77" t="s">
        <v>460</v>
      </c>
      <c r="H342" s="77" t="s">
        <v>1082</v>
      </c>
      <c r="I342" s="77" t="s">
        <v>451</v>
      </c>
      <c r="J342" s="77" t="s">
        <v>734</v>
      </c>
      <c r="K342" s="77" t="s">
        <v>451</v>
      </c>
      <c r="L342" s="77" t="s">
        <v>735</v>
      </c>
      <c r="M342" s="62" t="str">
        <f t="shared" si="5"/>
        <v>View on Google Map</v>
      </c>
    </row>
    <row r="343" spans="1:13">
      <c r="A343" s="77">
        <v>271</v>
      </c>
      <c r="B343" s="77" t="s">
        <v>1083</v>
      </c>
      <c r="C343" s="77" t="s">
        <v>451</v>
      </c>
      <c r="D343" s="77" t="s">
        <v>451</v>
      </c>
      <c r="E343" s="77" t="s">
        <v>451</v>
      </c>
      <c r="F343" s="77">
        <v>590</v>
      </c>
      <c r="G343" s="77" t="s">
        <v>460</v>
      </c>
      <c r="H343" s="77" t="s">
        <v>1084</v>
      </c>
      <c r="I343" s="77" t="s">
        <v>451</v>
      </c>
      <c r="J343" s="77" t="s">
        <v>734</v>
      </c>
      <c r="K343" s="77" t="s">
        <v>451</v>
      </c>
      <c r="L343" s="77" t="s">
        <v>735</v>
      </c>
      <c r="M343" s="62" t="str">
        <f t="shared" si="5"/>
        <v>View on Google Map</v>
      </c>
    </row>
    <row r="344" spans="1:13">
      <c r="A344" s="77">
        <v>272</v>
      </c>
      <c r="B344" s="77" t="s">
        <v>1085</v>
      </c>
      <c r="C344" s="77" t="s">
        <v>451</v>
      </c>
      <c r="D344" s="77" t="s">
        <v>451</v>
      </c>
      <c r="E344" s="77" t="s">
        <v>451</v>
      </c>
      <c r="F344" s="77" t="s">
        <v>451</v>
      </c>
      <c r="G344" s="77" t="s">
        <v>460</v>
      </c>
      <c r="H344" s="77" t="s">
        <v>1086</v>
      </c>
      <c r="I344" s="77" t="s">
        <v>451</v>
      </c>
      <c r="J344" s="77" t="s">
        <v>734</v>
      </c>
      <c r="K344" s="77" t="s">
        <v>451</v>
      </c>
      <c r="L344" s="77" t="s">
        <v>735</v>
      </c>
      <c r="M344" s="62" t="str">
        <f t="shared" si="5"/>
        <v>View on Google Map</v>
      </c>
    </row>
    <row r="345" spans="1:13">
      <c r="A345" s="77">
        <v>315</v>
      </c>
      <c r="B345" s="77" t="s">
        <v>1087</v>
      </c>
      <c r="C345" s="77" t="s">
        <v>451</v>
      </c>
      <c r="D345" s="77" t="s">
        <v>451</v>
      </c>
      <c r="E345" s="77" t="s">
        <v>451</v>
      </c>
      <c r="F345" s="77" t="s">
        <v>451</v>
      </c>
      <c r="G345" s="77" t="s">
        <v>460</v>
      </c>
      <c r="H345" s="77" t="s">
        <v>1088</v>
      </c>
      <c r="I345" s="77" t="s">
        <v>451</v>
      </c>
      <c r="J345" s="77" t="s">
        <v>734</v>
      </c>
      <c r="K345" s="77" t="s">
        <v>451</v>
      </c>
      <c r="L345" s="77" t="s">
        <v>735</v>
      </c>
      <c r="M345" s="62" t="str">
        <f t="shared" si="5"/>
        <v>View on Google Map</v>
      </c>
    </row>
    <row r="346" spans="1:13">
      <c r="A346" s="77">
        <v>316</v>
      </c>
      <c r="B346" s="77" t="s">
        <v>1089</v>
      </c>
      <c r="C346" s="77" t="s">
        <v>451</v>
      </c>
      <c r="D346" s="77" t="s">
        <v>451</v>
      </c>
      <c r="E346" s="77" t="s">
        <v>451</v>
      </c>
      <c r="F346" s="77" t="s">
        <v>451</v>
      </c>
      <c r="G346" s="77" t="s">
        <v>460</v>
      </c>
      <c r="H346" s="77" t="s">
        <v>1090</v>
      </c>
      <c r="I346" s="77" t="s">
        <v>451</v>
      </c>
      <c r="J346" s="77" t="s">
        <v>734</v>
      </c>
      <c r="K346" s="77" t="s">
        <v>451</v>
      </c>
      <c r="L346" s="77" t="s">
        <v>735</v>
      </c>
      <c r="M346" s="62" t="str">
        <f t="shared" si="5"/>
        <v>View on Google Map</v>
      </c>
    </row>
    <row r="347" spans="1:13">
      <c r="A347" s="77">
        <v>317</v>
      </c>
      <c r="B347" s="77" t="s">
        <v>1091</v>
      </c>
      <c r="C347" s="77" t="s">
        <v>451</v>
      </c>
      <c r="D347" s="77" t="s">
        <v>451</v>
      </c>
      <c r="E347" s="77" t="s">
        <v>451</v>
      </c>
      <c r="F347" s="77" t="s">
        <v>451</v>
      </c>
      <c r="G347" s="77" t="s">
        <v>460</v>
      </c>
      <c r="H347" s="77" t="s">
        <v>1092</v>
      </c>
      <c r="I347" s="77" t="s">
        <v>451</v>
      </c>
      <c r="J347" s="77" t="s">
        <v>734</v>
      </c>
      <c r="K347" s="77" t="s">
        <v>451</v>
      </c>
      <c r="L347" s="77" t="s">
        <v>735</v>
      </c>
      <c r="M347" s="62" t="str">
        <f t="shared" si="5"/>
        <v>View on Google Map</v>
      </c>
    </row>
    <row r="348" spans="1:13">
      <c r="A348" s="77">
        <v>318</v>
      </c>
      <c r="B348" s="77" t="s">
        <v>1093</v>
      </c>
      <c r="C348" s="77" t="s">
        <v>451</v>
      </c>
      <c r="D348" s="77">
        <v>68.575519</v>
      </c>
      <c r="E348" s="77" t="s">
        <v>1094</v>
      </c>
      <c r="F348" s="77">
        <v>899</v>
      </c>
      <c r="G348" s="77" t="s">
        <v>460</v>
      </c>
      <c r="H348" s="77" t="s">
        <v>1095</v>
      </c>
      <c r="I348" s="77" t="s">
        <v>451</v>
      </c>
      <c r="J348" s="77" t="s">
        <v>734</v>
      </c>
      <c r="K348" s="77" t="s">
        <v>451</v>
      </c>
      <c r="L348" s="77" t="s">
        <v>735</v>
      </c>
      <c r="M348" s="62" t="str">
        <f t="shared" si="5"/>
        <v>View on Google Map</v>
      </c>
    </row>
    <row r="349" spans="1:13">
      <c r="A349" s="77">
        <v>319</v>
      </c>
      <c r="B349" s="77" t="s">
        <v>1096</v>
      </c>
      <c r="C349" s="77" t="s">
        <v>451</v>
      </c>
      <c r="D349" s="77" t="s">
        <v>451</v>
      </c>
      <c r="E349" s="77" t="s">
        <v>451</v>
      </c>
      <c r="F349" s="77" t="s">
        <v>451</v>
      </c>
      <c r="G349" s="77" t="s">
        <v>460</v>
      </c>
      <c r="H349" s="77" t="s">
        <v>1097</v>
      </c>
      <c r="I349" s="77" t="s">
        <v>451</v>
      </c>
      <c r="J349" s="77" t="s">
        <v>734</v>
      </c>
      <c r="K349" s="77" t="s">
        <v>451</v>
      </c>
      <c r="L349" s="77" t="s">
        <v>735</v>
      </c>
      <c r="M349" s="62" t="str">
        <f t="shared" si="5"/>
        <v>View on Google Map</v>
      </c>
    </row>
    <row r="350" spans="1:13">
      <c r="A350" s="77">
        <v>320</v>
      </c>
      <c r="B350" s="77" t="s">
        <v>1098</v>
      </c>
      <c r="C350" s="77" t="s">
        <v>451</v>
      </c>
      <c r="D350" s="77">
        <v>68.577262833333336</v>
      </c>
      <c r="E350" s="77">
        <v>-149.17503450000001</v>
      </c>
      <c r="F350" s="77">
        <v>891</v>
      </c>
      <c r="G350" s="77" t="s">
        <v>460</v>
      </c>
      <c r="H350" s="77" t="s">
        <v>1099</v>
      </c>
      <c r="I350" s="77" t="s">
        <v>451</v>
      </c>
      <c r="J350" s="77" t="s">
        <v>734</v>
      </c>
      <c r="K350" s="77" t="s">
        <v>451</v>
      </c>
      <c r="L350" s="77" t="s">
        <v>735</v>
      </c>
      <c r="M350" s="62" t="str">
        <f t="shared" si="5"/>
        <v>View on Google Map</v>
      </c>
    </row>
    <row r="351" spans="1:13">
      <c r="A351" s="77">
        <v>321</v>
      </c>
      <c r="B351" s="77" t="s">
        <v>1100</v>
      </c>
      <c r="C351" s="77" t="s">
        <v>451</v>
      </c>
      <c r="D351" s="77">
        <v>68.581590833333294</v>
      </c>
      <c r="E351" s="77">
        <v>-149.17595333333301</v>
      </c>
      <c r="F351" s="77">
        <v>891</v>
      </c>
      <c r="G351" s="77" t="s">
        <v>460</v>
      </c>
      <c r="H351" s="77" t="s">
        <v>1101</v>
      </c>
      <c r="I351" s="77" t="s">
        <v>451</v>
      </c>
      <c r="J351" s="77" t="s">
        <v>734</v>
      </c>
      <c r="K351" s="77" t="s">
        <v>451</v>
      </c>
      <c r="L351" s="77" t="s">
        <v>735</v>
      </c>
      <c r="M351" s="62" t="str">
        <f t="shared" si="5"/>
        <v>View on Google Map</v>
      </c>
    </row>
    <row r="352" spans="1:13">
      <c r="A352" s="77">
        <v>322</v>
      </c>
      <c r="B352" s="77" t="s">
        <v>1102</v>
      </c>
      <c r="C352" s="77" t="s">
        <v>451</v>
      </c>
      <c r="D352" s="77" t="s">
        <v>451</v>
      </c>
      <c r="E352" s="77" t="s">
        <v>451</v>
      </c>
      <c r="F352" s="77" t="s">
        <v>451</v>
      </c>
      <c r="G352" s="77" t="s">
        <v>460</v>
      </c>
      <c r="H352" s="77" t="s">
        <v>1103</v>
      </c>
      <c r="I352" s="77" t="s">
        <v>451</v>
      </c>
      <c r="J352" s="77" t="s">
        <v>734</v>
      </c>
      <c r="K352" s="77" t="s">
        <v>451</v>
      </c>
      <c r="L352" s="77" t="s">
        <v>735</v>
      </c>
      <c r="M352" s="62" t="str">
        <f t="shared" si="5"/>
        <v>View on Google Map</v>
      </c>
    </row>
    <row r="353" spans="1:13">
      <c r="A353" s="77">
        <v>323</v>
      </c>
      <c r="B353" s="77" t="s">
        <v>1104</v>
      </c>
      <c r="C353" s="77" t="s">
        <v>451</v>
      </c>
      <c r="D353" s="77" t="s">
        <v>451</v>
      </c>
      <c r="E353" s="77" t="s">
        <v>451</v>
      </c>
      <c r="F353" s="77" t="s">
        <v>451</v>
      </c>
      <c r="G353" s="77" t="s">
        <v>460</v>
      </c>
      <c r="H353" s="77" t="s">
        <v>1105</v>
      </c>
      <c r="I353" s="77" t="s">
        <v>451</v>
      </c>
      <c r="J353" s="77" t="s">
        <v>734</v>
      </c>
      <c r="K353" s="77" t="s">
        <v>451</v>
      </c>
      <c r="L353" s="77" t="s">
        <v>735</v>
      </c>
      <c r="M353" s="62" t="str">
        <f t="shared" si="5"/>
        <v>View on Google Map</v>
      </c>
    </row>
    <row r="354" spans="1:13">
      <c r="A354" s="77">
        <v>324</v>
      </c>
      <c r="B354" s="77" t="s">
        <v>1106</v>
      </c>
      <c r="C354" s="77" t="s">
        <v>451</v>
      </c>
      <c r="D354" s="77" t="s">
        <v>451</v>
      </c>
      <c r="E354" s="77" t="s">
        <v>451</v>
      </c>
      <c r="F354" s="77" t="s">
        <v>451</v>
      </c>
      <c r="G354" s="77" t="s">
        <v>460</v>
      </c>
      <c r="H354" s="77" t="s">
        <v>1107</v>
      </c>
      <c r="I354" s="77" t="s">
        <v>451</v>
      </c>
      <c r="J354" s="77" t="s">
        <v>734</v>
      </c>
      <c r="K354" s="77" t="s">
        <v>451</v>
      </c>
      <c r="L354" s="77" t="s">
        <v>735</v>
      </c>
      <c r="M354" s="62" t="str">
        <f t="shared" si="5"/>
        <v>View on Google Map</v>
      </c>
    </row>
    <row r="355" spans="1:13">
      <c r="A355" s="77">
        <v>325</v>
      </c>
      <c r="B355" s="77" t="s">
        <v>1108</v>
      </c>
      <c r="C355" s="77" t="s">
        <v>451</v>
      </c>
      <c r="D355" s="77" t="s">
        <v>451</v>
      </c>
      <c r="E355" s="77" t="s">
        <v>451</v>
      </c>
      <c r="F355" s="77" t="s">
        <v>451</v>
      </c>
      <c r="G355" s="77" t="s">
        <v>460</v>
      </c>
      <c r="H355" s="77" t="s">
        <v>1109</v>
      </c>
      <c r="I355" s="77" t="s">
        <v>451</v>
      </c>
      <c r="J355" s="77" t="s">
        <v>734</v>
      </c>
      <c r="K355" s="77" t="s">
        <v>451</v>
      </c>
      <c r="L355" s="77" t="s">
        <v>735</v>
      </c>
      <c r="M355" s="62" t="str">
        <f t="shared" si="5"/>
        <v>View on Google Map</v>
      </c>
    </row>
    <row r="356" spans="1:13">
      <c r="A356" s="77">
        <v>326</v>
      </c>
      <c r="B356" s="77" t="s">
        <v>1110</v>
      </c>
      <c r="C356" s="77" t="s">
        <v>451</v>
      </c>
      <c r="D356" s="77" t="s">
        <v>451</v>
      </c>
      <c r="E356" s="77" t="s">
        <v>451</v>
      </c>
      <c r="F356" s="77" t="s">
        <v>451</v>
      </c>
      <c r="G356" s="77" t="s">
        <v>460</v>
      </c>
      <c r="H356" s="77" t="s">
        <v>1111</v>
      </c>
      <c r="I356" s="77" t="s">
        <v>451</v>
      </c>
      <c r="J356" s="77" t="s">
        <v>734</v>
      </c>
      <c r="K356" s="77" t="s">
        <v>451</v>
      </c>
      <c r="L356" s="77" t="s">
        <v>735</v>
      </c>
      <c r="M356" s="62" t="str">
        <f t="shared" si="5"/>
        <v>View on Google Map</v>
      </c>
    </row>
    <row r="357" spans="1:13">
      <c r="A357" s="77">
        <v>327</v>
      </c>
      <c r="B357" s="77" t="s">
        <v>1112</v>
      </c>
      <c r="C357" s="77" t="s">
        <v>451</v>
      </c>
      <c r="D357" s="77" t="s">
        <v>451</v>
      </c>
      <c r="E357" s="77" t="s">
        <v>451</v>
      </c>
      <c r="F357" s="77" t="s">
        <v>451</v>
      </c>
      <c r="G357" s="77" t="s">
        <v>460</v>
      </c>
      <c r="H357" s="77" t="s">
        <v>1113</v>
      </c>
      <c r="I357" s="77" t="s">
        <v>451</v>
      </c>
      <c r="J357" s="77" t="s">
        <v>734</v>
      </c>
      <c r="K357" s="77" t="s">
        <v>451</v>
      </c>
      <c r="L357" s="77" t="s">
        <v>735</v>
      </c>
      <c r="M357" s="62" t="str">
        <f t="shared" si="5"/>
        <v>View on Google Map</v>
      </c>
    </row>
    <row r="358" spans="1:13">
      <c r="A358" s="77">
        <v>328</v>
      </c>
      <c r="B358" s="77" t="s">
        <v>1114</v>
      </c>
      <c r="C358" s="77" t="s">
        <v>451</v>
      </c>
      <c r="D358" s="77" t="s">
        <v>451</v>
      </c>
      <c r="E358" s="77" t="s">
        <v>451</v>
      </c>
      <c r="F358" s="77" t="s">
        <v>451</v>
      </c>
      <c r="G358" s="77" t="s">
        <v>460</v>
      </c>
      <c r="H358" s="77" t="s">
        <v>1115</v>
      </c>
      <c r="I358" s="77" t="s">
        <v>451</v>
      </c>
      <c r="J358" s="77" t="s">
        <v>734</v>
      </c>
      <c r="K358" s="77" t="s">
        <v>451</v>
      </c>
      <c r="L358" s="77" t="s">
        <v>735</v>
      </c>
      <c r="M358" s="62" t="str">
        <f t="shared" si="5"/>
        <v>View on Google Map</v>
      </c>
    </row>
    <row r="359" spans="1:13">
      <c r="A359" s="77">
        <v>329</v>
      </c>
      <c r="B359" s="77" t="s">
        <v>1116</v>
      </c>
      <c r="C359" s="77" t="s">
        <v>451</v>
      </c>
      <c r="D359" s="77" t="s">
        <v>451</v>
      </c>
      <c r="E359" s="77" t="s">
        <v>451</v>
      </c>
      <c r="F359" s="77" t="s">
        <v>451</v>
      </c>
      <c r="G359" s="77" t="s">
        <v>460</v>
      </c>
      <c r="H359" s="77" t="s">
        <v>1117</v>
      </c>
      <c r="I359" s="77" t="s">
        <v>451</v>
      </c>
      <c r="J359" s="77" t="s">
        <v>734</v>
      </c>
      <c r="K359" s="77" t="s">
        <v>451</v>
      </c>
      <c r="L359" s="77" t="s">
        <v>735</v>
      </c>
      <c r="M359" s="62" t="str">
        <f t="shared" si="5"/>
        <v>View on Google Map</v>
      </c>
    </row>
    <row r="360" spans="1:13">
      <c r="A360" s="77">
        <v>330</v>
      </c>
      <c r="B360" s="77" t="s">
        <v>1118</v>
      </c>
      <c r="C360" s="77" t="s">
        <v>451</v>
      </c>
      <c r="D360" s="77" t="s">
        <v>451</v>
      </c>
      <c r="E360" s="77" t="s">
        <v>451</v>
      </c>
      <c r="F360" s="77" t="s">
        <v>451</v>
      </c>
      <c r="G360" s="77" t="s">
        <v>460</v>
      </c>
      <c r="H360" s="77" t="s">
        <v>1119</v>
      </c>
      <c r="I360" s="77" t="s">
        <v>451</v>
      </c>
      <c r="J360" s="77" t="s">
        <v>734</v>
      </c>
      <c r="K360" s="77" t="s">
        <v>451</v>
      </c>
      <c r="L360" s="77" t="s">
        <v>735</v>
      </c>
      <c r="M360" s="62" t="str">
        <f t="shared" si="5"/>
        <v>View on Google Map</v>
      </c>
    </row>
    <row r="361" spans="1:13">
      <c r="A361" s="77">
        <v>331</v>
      </c>
      <c r="B361" s="77" t="s">
        <v>1120</v>
      </c>
      <c r="C361" s="77" t="s">
        <v>451</v>
      </c>
      <c r="D361" s="77">
        <v>68.534049999999993</v>
      </c>
      <c r="E361" s="77">
        <v>-149.15729999999999</v>
      </c>
      <c r="F361" s="77">
        <v>926</v>
      </c>
      <c r="G361" s="77" t="s">
        <v>460</v>
      </c>
      <c r="H361" s="77" t="s">
        <v>1121</v>
      </c>
      <c r="I361" s="77" t="s">
        <v>451</v>
      </c>
      <c r="J361" s="77" t="s">
        <v>734</v>
      </c>
      <c r="K361" s="77" t="s">
        <v>451</v>
      </c>
      <c r="L361" s="77" t="s">
        <v>735</v>
      </c>
      <c r="M361" s="62" t="str">
        <f t="shared" si="5"/>
        <v>View on Google Map</v>
      </c>
    </row>
    <row r="362" spans="1:13">
      <c r="A362" s="77">
        <v>332</v>
      </c>
      <c r="B362" s="77" t="s">
        <v>1122</v>
      </c>
      <c r="C362" s="77" t="s">
        <v>451</v>
      </c>
      <c r="D362" s="77">
        <v>68.533494000000005</v>
      </c>
      <c r="E362" s="77">
        <v>-149.167351</v>
      </c>
      <c r="F362" s="77" t="s">
        <v>451</v>
      </c>
      <c r="G362" s="77" t="s">
        <v>460</v>
      </c>
      <c r="H362" s="77" t="s">
        <v>1123</v>
      </c>
      <c r="I362" s="77" t="s">
        <v>451</v>
      </c>
      <c r="J362" s="77" t="s">
        <v>734</v>
      </c>
      <c r="K362" s="77" t="s">
        <v>451</v>
      </c>
      <c r="L362" s="77" t="s">
        <v>735</v>
      </c>
      <c r="M362" s="62" t="str">
        <f t="shared" si="5"/>
        <v>View on Google Map</v>
      </c>
    </row>
    <row r="363" spans="1:13">
      <c r="A363" s="77">
        <v>333</v>
      </c>
      <c r="B363" s="77" t="s">
        <v>1124</v>
      </c>
      <c r="C363" s="77" t="s">
        <v>451</v>
      </c>
      <c r="D363" s="77">
        <v>68.533270000000002</v>
      </c>
      <c r="E363" s="77">
        <v>-149.19565</v>
      </c>
      <c r="F363" s="77">
        <v>899</v>
      </c>
      <c r="G363" s="77" t="s">
        <v>460</v>
      </c>
      <c r="H363" s="77" t="s">
        <v>1125</v>
      </c>
      <c r="I363" s="77" t="s">
        <v>451</v>
      </c>
      <c r="J363" s="77" t="s">
        <v>734</v>
      </c>
      <c r="K363" s="77" t="s">
        <v>451</v>
      </c>
      <c r="L363" s="77" t="s">
        <v>735</v>
      </c>
      <c r="M363" s="62" t="str">
        <f t="shared" si="5"/>
        <v>View on Google Map</v>
      </c>
    </row>
    <row r="364" spans="1:13">
      <c r="A364" s="77">
        <v>335</v>
      </c>
      <c r="B364" s="77" t="s">
        <v>1126</v>
      </c>
      <c r="C364" s="77" t="s">
        <v>451</v>
      </c>
      <c r="D364" s="77" t="s">
        <v>451</v>
      </c>
      <c r="E364" s="77" t="s">
        <v>451</v>
      </c>
      <c r="F364" s="77" t="s">
        <v>451</v>
      </c>
      <c r="G364" s="77" t="s">
        <v>460</v>
      </c>
      <c r="H364" s="77" t="s">
        <v>1127</v>
      </c>
      <c r="I364" s="77" t="s">
        <v>451</v>
      </c>
      <c r="J364" s="77" t="s">
        <v>734</v>
      </c>
      <c r="K364" s="77" t="s">
        <v>451</v>
      </c>
      <c r="L364" s="77" t="s">
        <v>735</v>
      </c>
      <c r="M364" s="62" t="str">
        <f t="shared" si="5"/>
        <v>View on Google Map</v>
      </c>
    </row>
    <row r="365" spans="1:13">
      <c r="A365" s="77">
        <v>336</v>
      </c>
      <c r="B365" s="77" t="s">
        <v>1128</v>
      </c>
      <c r="C365" s="77" t="s">
        <v>451</v>
      </c>
      <c r="D365" s="77" t="s">
        <v>451</v>
      </c>
      <c r="E365" s="77" t="s">
        <v>451</v>
      </c>
      <c r="F365" s="77" t="s">
        <v>451</v>
      </c>
      <c r="G365" s="77" t="s">
        <v>460</v>
      </c>
      <c r="H365" s="77" t="s">
        <v>1129</v>
      </c>
      <c r="I365" s="77" t="s">
        <v>451</v>
      </c>
      <c r="J365" s="77" t="s">
        <v>734</v>
      </c>
      <c r="K365" s="77" t="s">
        <v>451</v>
      </c>
      <c r="L365" s="77" t="s">
        <v>735</v>
      </c>
      <c r="M365" s="62" t="str">
        <f t="shared" si="5"/>
        <v>View on Google Map</v>
      </c>
    </row>
    <row r="366" spans="1:13">
      <c r="A366" s="77">
        <v>337</v>
      </c>
      <c r="B366" s="77" t="s">
        <v>1130</v>
      </c>
      <c r="C366" s="77" t="s">
        <v>451</v>
      </c>
      <c r="D366" s="77" t="s">
        <v>451</v>
      </c>
      <c r="E366" s="77" t="s">
        <v>451</v>
      </c>
      <c r="F366" s="77" t="s">
        <v>451</v>
      </c>
      <c r="G366" s="77" t="s">
        <v>460</v>
      </c>
      <c r="H366" s="77" t="s">
        <v>1131</v>
      </c>
      <c r="I366" s="77" t="s">
        <v>451</v>
      </c>
      <c r="J366" s="77" t="s">
        <v>734</v>
      </c>
      <c r="K366" s="77" t="s">
        <v>451</v>
      </c>
      <c r="L366" s="77" t="s">
        <v>735</v>
      </c>
      <c r="M366" s="62" t="str">
        <f t="shared" si="5"/>
        <v>View on Google Map</v>
      </c>
    </row>
    <row r="367" spans="1:13">
      <c r="A367" s="77">
        <v>338</v>
      </c>
      <c r="B367" s="77" t="s">
        <v>1132</v>
      </c>
      <c r="C367" s="77" t="s">
        <v>451</v>
      </c>
      <c r="D367" s="77" t="s">
        <v>451</v>
      </c>
      <c r="E367" s="77" t="s">
        <v>451</v>
      </c>
      <c r="F367" s="77" t="s">
        <v>451</v>
      </c>
      <c r="G367" s="77" t="s">
        <v>460</v>
      </c>
      <c r="H367" s="77" t="s">
        <v>1133</v>
      </c>
      <c r="I367" s="77" t="s">
        <v>451</v>
      </c>
      <c r="J367" s="77" t="s">
        <v>734</v>
      </c>
      <c r="K367" s="77" t="s">
        <v>451</v>
      </c>
      <c r="L367" s="77" t="s">
        <v>735</v>
      </c>
      <c r="M367" s="62" t="str">
        <f t="shared" si="5"/>
        <v>View on Google Map</v>
      </c>
    </row>
    <row r="368" spans="1:13">
      <c r="A368" s="77">
        <v>339</v>
      </c>
      <c r="B368" s="77" t="s">
        <v>1134</v>
      </c>
      <c r="C368" s="77" t="s">
        <v>451</v>
      </c>
      <c r="D368" s="77" t="s">
        <v>451</v>
      </c>
      <c r="E368" s="77" t="s">
        <v>451</v>
      </c>
      <c r="F368" s="77" t="s">
        <v>451</v>
      </c>
      <c r="G368" s="77" t="s">
        <v>460</v>
      </c>
      <c r="H368" s="77" t="s">
        <v>1135</v>
      </c>
      <c r="I368" s="77" t="s">
        <v>451</v>
      </c>
      <c r="J368" s="77" t="s">
        <v>734</v>
      </c>
      <c r="K368" s="77" t="s">
        <v>451</v>
      </c>
      <c r="L368" s="77" t="s">
        <v>735</v>
      </c>
      <c r="M368" s="62" t="str">
        <f t="shared" si="5"/>
        <v>View on Google Map</v>
      </c>
    </row>
    <row r="369" spans="1:13">
      <c r="A369" s="77">
        <v>340</v>
      </c>
      <c r="B369" s="77" t="s">
        <v>1136</v>
      </c>
      <c r="C369" s="77" t="s">
        <v>451</v>
      </c>
      <c r="D369" s="77" t="s">
        <v>451</v>
      </c>
      <c r="E369" s="77" t="s">
        <v>451</v>
      </c>
      <c r="F369" s="77" t="s">
        <v>451</v>
      </c>
      <c r="G369" s="77" t="s">
        <v>460</v>
      </c>
      <c r="H369" s="77" t="s">
        <v>1137</v>
      </c>
      <c r="I369" s="77" t="s">
        <v>451</v>
      </c>
      <c r="J369" s="77" t="s">
        <v>734</v>
      </c>
      <c r="K369" s="77" t="s">
        <v>451</v>
      </c>
      <c r="L369" s="77" t="s">
        <v>735</v>
      </c>
      <c r="M369" s="62" t="str">
        <f t="shared" si="5"/>
        <v>View on Google Map</v>
      </c>
    </row>
    <row r="370" spans="1:13">
      <c r="A370" s="77">
        <v>341</v>
      </c>
      <c r="B370" s="77" t="s">
        <v>1138</v>
      </c>
      <c r="C370" s="77" t="s">
        <v>451</v>
      </c>
      <c r="D370" s="77" t="s">
        <v>451</v>
      </c>
      <c r="E370" s="77" t="s">
        <v>451</v>
      </c>
      <c r="F370" s="77" t="s">
        <v>451</v>
      </c>
      <c r="G370" s="77" t="s">
        <v>460</v>
      </c>
      <c r="H370" s="77" t="s">
        <v>1139</v>
      </c>
      <c r="I370" s="77" t="s">
        <v>451</v>
      </c>
      <c r="J370" s="77" t="s">
        <v>734</v>
      </c>
      <c r="K370" s="77" t="s">
        <v>451</v>
      </c>
      <c r="L370" s="77" t="s">
        <v>735</v>
      </c>
      <c r="M370" s="62" t="str">
        <f t="shared" si="5"/>
        <v>View on Google Map</v>
      </c>
    </row>
    <row r="371" spans="1:13">
      <c r="A371" s="77">
        <v>342</v>
      </c>
      <c r="B371" s="77" t="s">
        <v>1140</v>
      </c>
      <c r="C371" s="77" t="s">
        <v>451</v>
      </c>
      <c r="D371" s="77" t="s">
        <v>451</v>
      </c>
      <c r="E371" s="77" t="s">
        <v>451</v>
      </c>
      <c r="F371" s="77" t="s">
        <v>451</v>
      </c>
      <c r="G371" s="77" t="s">
        <v>460</v>
      </c>
      <c r="H371" s="77" t="s">
        <v>1141</v>
      </c>
      <c r="I371" s="77" t="s">
        <v>451</v>
      </c>
      <c r="J371" s="77" t="s">
        <v>734</v>
      </c>
      <c r="K371" s="77" t="s">
        <v>451</v>
      </c>
      <c r="L371" s="77" t="s">
        <v>735</v>
      </c>
      <c r="M371" s="62" t="str">
        <f t="shared" si="5"/>
        <v>View on Google Map</v>
      </c>
    </row>
    <row r="372" spans="1:13">
      <c r="A372" s="77">
        <v>343</v>
      </c>
      <c r="B372" s="77" t="s">
        <v>1142</v>
      </c>
      <c r="C372" s="77" t="s">
        <v>451</v>
      </c>
      <c r="D372" s="77" t="s">
        <v>451</v>
      </c>
      <c r="E372" s="77" t="s">
        <v>451</v>
      </c>
      <c r="F372" s="77" t="s">
        <v>451</v>
      </c>
      <c r="G372" s="77" t="s">
        <v>460</v>
      </c>
      <c r="H372" s="77" t="s">
        <v>1143</v>
      </c>
      <c r="I372" s="77" t="s">
        <v>451</v>
      </c>
      <c r="J372" s="77" t="s">
        <v>734</v>
      </c>
      <c r="K372" s="77" t="s">
        <v>451</v>
      </c>
      <c r="L372" s="77" t="s">
        <v>735</v>
      </c>
      <c r="M372" s="62" t="str">
        <f t="shared" si="5"/>
        <v>View on Google Map</v>
      </c>
    </row>
    <row r="373" spans="1:13">
      <c r="A373" s="77">
        <v>344</v>
      </c>
      <c r="B373" s="77" t="s">
        <v>1144</v>
      </c>
      <c r="C373" s="77" t="s">
        <v>451</v>
      </c>
      <c r="D373" s="77" t="s">
        <v>451</v>
      </c>
      <c r="E373" s="77" t="s">
        <v>451</v>
      </c>
      <c r="F373" s="77" t="s">
        <v>451</v>
      </c>
      <c r="G373" s="77" t="s">
        <v>460</v>
      </c>
      <c r="H373" s="77" t="s">
        <v>1145</v>
      </c>
      <c r="I373" s="77" t="s">
        <v>451</v>
      </c>
      <c r="J373" s="77" t="s">
        <v>734</v>
      </c>
      <c r="K373" s="77" t="s">
        <v>451</v>
      </c>
      <c r="L373" s="77" t="s">
        <v>735</v>
      </c>
      <c r="M373" s="62" t="str">
        <f t="shared" si="5"/>
        <v>View on Google Map</v>
      </c>
    </row>
    <row r="374" spans="1:13">
      <c r="A374" s="77">
        <v>345</v>
      </c>
      <c r="B374" s="77" t="s">
        <v>1146</v>
      </c>
      <c r="C374" s="77" t="s">
        <v>451</v>
      </c>
      <c r="D374" s="77">
        <v>68.62276</v>
      </c>
      <c r="E374" s="77">
        <v>-149.15088</v>
      </c>
      <c r="F374" s="77">
        <v>861</v>
      </c>
      <c r="G374" s="77" t="s">
        <v>460</v>
      </c>
      <c r="H374" s="77" t="s">
        <v>1147</v>
      </c>
      <c r="I374" s="77" t="s">
        <v>451</v>
      </c>
      <c r="J374" s="77" t="s">
        <v>734</v>
      </c>
      <c r="K374" s="77" t="s">
        <v>451</v>
      </c>
      <c r="L374" s="77" t="s">
        <v>735</v>
      </c>
      <c r="M374" s="62" t="str">
        <f t="shared" si="5"/>
        <v>View on Google Map</v>
      </c>
    </row>
    <row r="375" spans="1:13">
      <c r="A375" s="77">
        <v>346</v>
      </c>
      <c r="B375" s="77" t="s">
        <v>1148</v>
      </c>
      <c r="C375" s="77" t="s">
        <v>451</v>
      </c>
      <c r="D375" s="77">
        <v>68.625380000000007</v>
      </c>
      <c r="E375" s="77">
        <v>-149.13919000000001</v>
      </c>
      <c r="F375" s="77">
        <v>877</v>
      </c>
      <c r="G375" s="77" t="s">
        <v>460</v>
      </c>
      <c r="H375" s="77" t="s">
        <v>1149</v>
      </c>
      <c r="I375" s="77" t="s">
        <v>451</v>
      </c>
      <c r="J375" s="77" t="s">
        <v>734</v>
      </c>
      <c r="K375" s="77" t="s">
        <v>451</v>
      </c>
      <c r="L375" s="77" t="s">
        <v>735</v>
      </c>
      <c r="M375" s="62" t="str">
        <f t="shared" si="5"/>
        <v>View on Google Map</v>
      </c>
    </row>
    <row r="376" spans="1:13">
      <c r="A376" s="77">
        <v>347</v>
      </c>
      <c r="B376" s="77" t="s">
        <v>1150</v>
      </c>
      <c r="C376" s="77" t="s">
        <v>451</v>
      </c>
      <c r="D376" s="77">
        <v>68.625380000000007</v>
      </c>
      <c r="E376" s="77">
        <v>-149.13919000000001</v>
      </c>
      <c r="F376" s="77">
        <v>858</v>
      </c>
      <c r="G376" s="77" t="s">
        <v>460</v>
      </c>
      <c r="H376" s="77" t="s">
        <v>1151</v>
      </c>
      <c r="I376" s="77" t="s">
        <v>451</v>
      </c>
      <c r="J376" s="77" t="s">
        <v>734</v>
      </c>
      <c r="K376" s="77" t="s">
        <v>451</v>
      </c>
      <c r="L376" s="77" t="s">
        <v>735</v>
      </c>
      <c r="M376" s="62" t="str">
        <f t="shared" si="5"/>
        <v>View on Google Map</v>
      </c>
    </row>
    <row r="377" spans="1:13">
      <c r="A377" s="77">
        <v>348</v>
      </c>
      <c r="B377" s="77" t="s">
        <v>1152</v>
      </c>
      <c r="C377" s="77" t="s">
        <v>451</v>
      </c>
      <c r="D377" s="77" t="s">
        <v>451</v>
      </c>
      <c r="E377" s="77" t="s">
        <v>451</v>
      </c>
      <c r="F377" s="77" t="s">
        <v>451</v>
      </c>
      <c r="G377" s="77" t="s">
        <v>460</v>
      </c>
      <c r="H377" s="77" t="s">
        <v>1153</v>
      </c>
      <c r="I377" s="77" t="s">
        <v>451</v>
      </c>
      <c r="J377" s="77" t="s">
        <v>734</v>
      </c>
      <c r="K377" s="77" t="s">
        <v>451</v>
      </c>
      <c r="L377" s="77" t="s">
        <v>735</v>
      </c>
      <c r="M377" s="62" t="str">
        <f t="shared" si="5"/>
        <v>View on Google Map</v>
      </c>
    </row>
    <row r="378" spans="1:13">
      <c r="A378" s="77">
        <v>349</v>
      </c>
      <c r="B378" s="77" t="s">
        <v>1154</v>
      </c>
      <c r="C378" s="77" t="s">
        <v>451</v>
      </c>
      <c r="D378" s="77" t="s">
        <v>451</v>
      </c>
      <c r="E378" s="77" t="s">
        <v>451</v>
      </c>
      <c r="F378" s="77" t="s">
        <v>451</v>
      </c>
      <c r="G378" s="77" t="s">
        <v>460</v>
      </c>
      <c r="H378" s="77" t="s">
        <v>1155</v>
      </c>
      <c r="I378" s="77" t="s">
        <v>451</v>
      </c>
      <c r="J378" s="77" t="s">
        <v>734</v>
      </c>
      <c r="K378" s="77" t="s">
        <v>451</v>
      </c>
      <c r="L378" s="77" t="s">
        <v>735</v>
      </c>
      <c r="M378" s="62" t="str">
        <f t="shared" si="5"/>
        <v>View on Google Map</v>
      </c>
    </row>
    <row r="379" spans="1:13">
      <c r="A379" s="77">
        <v>350</v>
      </c>
      <c r="B379" s="77" t="s">
        <v>1156</v>
      </c>
      <c r="C379" s="77" t="s">
        <v>451</v>
      </c>
      <c r="D379" s="77" t="s">
        <v>451</v>
      </c>
      <c r="E379" s="77" t="s">
        <v>451</v>
      </c>
      <c r="F379" s="77" t="s">
        <v>451</v>
      </c>
      <c r="G379" s="77" t="s">
        <v>460</v>
      </c>
      <c r="H379" s="77" t="s">
        <v>1157</v>
      </c>
      <c r="I379" s="77" t="s">
        <v>451</v>
      </c>
      <c r="J379" s="77" t="s">
        <v>734</v>
      </c>
      <c r="K379" s="77" t="s">
        <v>451</v>
      </c>
      <c r="L379" s="77" t="s">
        <v>735</v>
      </c>
      <c r="M379" s="62" t="str">
        <f t="shared" si="5"/>
        <v>View on Google Map</v>
      </c>
    </row>
    <row r="380" spans="1:13">
      <c r="A380" s="77">
        <v>351</v>
      </c>
      <c r="B380" s="77" t="s">
        <v>1158</v>
      </c>
      <c r="C380" s="77" t="s">
        <v>451</v>
      </c>
      <c r="D380" s="77" t="s">
        <v>451</v>
      </c>
      <c r="E380" s="77" t="s">
        <v>451</v>
      </c>
      <c r="F380" s="77" t="s">
        <v>451</v>
      </c>
      <c r="G380" s="77" t="s">
        <v>460</v>
      </c>
      <c r="H380" s="77" t="s">
        <v>1159</v>
      </c>
      <c r="I380" s="77" t="s">
        <v>451</v>
      </c>
      <c r="J380" s="77" t="s">
        <v>734</v>
      </c>
      <c r="K380" s="77" t="s">
        <v>451</v>
      </c>
      <c r="L380" s="77" t="s">
        <v>735</v>
      </c>
      <c r="M380" s="62" t="str">
        <f t="shared" si="5"/>
        <v>View on Google Map</v>
      </c>
    </row>
    <row r="381" spans="1:13">
      <c r="A381" s="77">
        <v>352</v>
      </c>
      <c r="B381" s="77" t="s">
        <v>1160</v>
      </c>
      <c r="C381" s="77" t="s">
        <v>451</v>
      </c>
      <c r="D381" s="77" t="s">
        <v>451</v>
      </c>
      <c r="E381" s="77" t="s">
        <v>451</v>
      </c>
      <c r="F381" s="77" t="s">
        <v>451</v>
      </c>
      <c r="G381" s="77" t="s">
        <v>460</v>
      </c>
      <c r="H381" s="77" t="s">
        <v>1161</v>
      </c>
      <c r="I381" s="77" t="s">
        <v>451</v>
      </c>
      <c r="J381" s="77" t="s">
        <v>734</v>
      </c>
      <c r="K381" s="77" t="s">
        <v>451</v>
      </c>
      <c r="L381" s="77" t="s">
        <v>735</v>
      </c>
      <c r="M381" s="62" t="str">
        <f t="shared" si="5"/>
        <v>View on Google Map</v>
      </c>
    </row>
    <row r="382" spans="1:13">
      <c r="A382" s="77">
        <v>353</v>
      </c>
      <c r="B382" s="77" t="s">
        <v>1162</v>
      </c>
      <c r="C382" s="77" t="s">
        <v>451</v>
      </c>
      <c r="D382" s="77">
        <v>68.584999999999994</v>
      </c>
      <c r="E382" s="77">
        <v>-149.196666666667</v>
      </c>
      <c r="F382" s="77">
        <v>898</v>
      </c>
      <c r="G382" s="77" t="s">
        <v>460</v>
      </c>
      <c r="H382" s="77" t="s">
        <v>1163</v>
      </c>
      <c r="I382" s="77" t="s">
        <v>451</v>
      </c>
      <c r="J382" s="77" t="s">
        <v>734</v>
      </c>
      <c r="K382" s="77" t="s">
        <v>451</v>
      </c>
      <c r="L382" s="77" t="s">
        <v>735</v>
      </c>
      <c r="M382" s="62" t="str">
        <f t="shared" si="5"/>
        <v>View on Google Map</v>
      </c>
    </row>
    <row r="383" spans="1:13">
      <c r="A383" s="77">
        <v>354</v>
      </c>
      <c r="B383" s="77" t="s">
        <v>1164</v>
      </c>
      <c r="C383" s="77" t="s">
        <v>451</v>
      </c>
      <c r="D383" s="77">
        <v>68.583333333333329</v>
      </c>
      <c r="E383" s="77">
        <v>-149.18833333333299</v>
      </c>
      <c r="F383" s="77">
        <v>896</v>
      </c>
      <c r="G383" s="77" t="s">
        <v>460</v>
      </c>
      <c r="H383" s="77" t="s">
        <v>1165</v>
      </c>
      <c r="I383" s="77" t="s">
        <v>451</v>
      </c>
      <c r="J383" s="77" t="s">
        <v>734</v>
      </c>
      <c r="K383" s="77" t="s">
        <v>451</v>
      </c>
      <c r="L383" s="77" t="s">
        <v>735</v>
      </c>
      <c r="M383" s="62" t="str">
        <f t="shared" si="5"/>
        <v>View on Google Map</v>
      </c>
    </row>
    <row r="384" spans="1:13">
      <c r="A384" s="77">
        <v>355</v>
      </c>
      <c r="B384" s="77" t="s">
        <v>1166</v>
      </c>
      <c r="C384" s="77" t="s">
        <v>451</v>
      </c>
      <c r="D384" s="77">
        <v>68.589677499999993</v>
      </c>
      <c r="E384" s="77">
        <v>-149.18153733333301</v>
      </c>
      <c r="F384" s="77">
        <v>880</v>
      </c>
      <c r="G384" s="77" t="s">
        <v>460</v>
      </c>
      <c r="H384" s="77" t="s">
        <v>1167</v>
      </c>
      <c r="I384" s="77" t="s">
        <v>451</v>
      </c>
      <c r="J384" s="77" t="s">
        <v>734</v>
      </c>
      <c r="K384" s="77" t="s">
        <v>451</v>
      </c>
      <c r="L384" s="77" t="s">
        <v>735</v>
      </c>
      <c r="M384" s="62" t="str">
        <f t="shared" si="5"/>
        <v>View on Google Map</v>
      </c>
    </row>
    <row r="385" spans="1:13">
      <c r="A385" s="77">
        <v>357</v>
      </c>
      <c r="B385" s="77" t="s">
        <v>1168</v>
      </c>
      <c r="C385" s="77" t="s">
        <v>451</v>
      </c>
      <c r="D385" s="77" t="s">
        <v>451</v>
      </c>
      <c r="E385" s="77" t="s">
        <v>451</v>
      </c>
      <c r="F385" s="77" t="s">
        <v>451</v>
      </c>
      <c r="G385" s="77" t="s">
        <v>460</v>
      </c>
      <c r="H385" s="77" t="s">
        <v>1169</v>
      </c>
      <c r="I385" s="77" t="s">
        <v>451</v>
      </c>
      <c r="J385" s="77" t="s">
        <v>734</v>
      </c>
      <c r="K385" s="77" t="s">
        <v>451</v>
      </c>
      <c r="L385" s="77" t="s">
        <v>735</v>
      </c>
      <c r="M385" s="62" t="str">
        <f t="shared" si="5"/>
        <v>View on Google Map</v>
      </c>
    </row>
    <row r="386" spans="1:13">
      <c r="A386" s="77">
        <v>358</v>
      </c>
      <c r="B386" s="77" t="s">
        <v>1170</v>
      </c>
      <c r="C386" s="77" t="s">
        <v>451</v>
      </c>
      <c r="D386" s="77" t="s">
        <v>451</v>
      </c>
      <c r="E386" s="77" t="s">
        <v>451</v>
      </c>
      <c r="F386" s="77" t="s">
        <v>451</v>
      </c>
      <c r="G386" s="77" t="s">
        <v>460</v>
      </c>
      <c r="H386" s="77" t="s">
        <v>1171</v>
      </c>
      <c r="I386" s="77" t="s">
        <v>451</v>
      </c>
      <c r="J386" s="77" t="s">
        <v>734</v>
      </c>
      <c r="K386" s="77" t="s">
        <v>451</v>
      </c>
      <c r="L386" s="77" t="s">
        <v>735</v>
      </c>
      <c r="M386" s="62" t="str">
        <f t="shared" si="5"/>
        <v>View on Google Map</v>
      </c>
    </row>
    <row r="387" spans="1:13">
      <c r="A387" s="77">
        <v>359</v>
      </c>
      <c r="B387" s="77" t="s">
        <v>1172</v>
      </c>
      <c r="C387" s="77" t="s">
        <v>451</v>
      </c>
      <c r="D387" s="77" t="s">
        <v>451</v>
      </c>
      <c r="E387" s="77" t="s">
        <v>451</v>
      </c>
      <c r="F387" s="77" t="s">
        <v>451</v>
      </c>
      <c r="G387" s="77" t="s">
        <v>460</v>
      </c>
      <c r="H387" s="77" t="s">
        <v>1173</v>
      </c>
      <c r="I387" s="77" t="s">
        <v>451</v>
      </c>
      <c r="J387" s="77" t="s">
        <v>734</v>
      </c>
      <c r="K387" s="77" t="s">
        <v>451</v>
      </c>
      <c r="L387" s="77" t="s">
        <v>735</v>
      </c>
      <c r="M387" s="62" t="str">
        <f t="shared" ref="M387:M450" si="6">HYPERLINK("http://maps.google.com/maps?q="&amp;D387&amp;","&amp;E387,"View on Google Map")</f>
        <v>View on Google Map</v>
      </c>
    </row>
    <row r="388" spans="1:13">
      <c r="A388" s="77">
        <v>360</v>
      </c>
      <c r="B388" s="77" t="s">
        <v>1174</v>
      </c>
      <c r="C388" s="77" t="s">
        <v>451</v>
      </c>
      <c r="D388" s="77" t="s">
        <v>451</v>
      </c>
      <c r="E388" s="77" t="s">
        <v>451</v>
      </c>
      <c r="F388" s="77" t="s">
        <v>451</v>
      </c>
      <c r="G388" s="77" t="s">
        <v>460</v>
      </c>
      <c r="H388" s="77" t="s">
        <v>1175</v>
      </c>
      <c r="I388" s="77" t="s">
        <v>451</v>
      </c>
      <c r="J388" s="77" t="s">
        <v>734</v>
      </c>
      <c r="K388" s="77" t="s">
        <v>451</v>
      </c>
      <c r="L388" s="77" t="s">
        <v>735</v>
      </c>
      <c r="M388" s="62" t="str">
        <f t="shared" si="6"/>
        <v>View on Google Map</v>
      </c>
    </row>
    <row r="389" spans="1:13">
      <c r="A389" s="77">
        <v>361</v>
      </c>
      <c r="B389" s="77" t="s">
        <v>1176</v>
      </c>
      <c r="C389" s="77" t="s">
        <v>451</v>
      </c>
      <c r="D389" s="77" t="s">
        <v>451</v>
      </c>
      <c r="E389" s="77" t="s">
        <v>451</v>
      </c>
      <c r="F389" s="77" t="s">
        <v>451</v>
      </c>
      <c r="G389" s="77" t="s">
        <v>460</v>
      </c>
      <c r="H389" s="77" t="s">
        <v>1177</v>
      </c>
      <c r="I389" s="77" t="s">
        <v>451</v>
      </c>
      <c r="J389" s="77" t="s">
        <v>734</v>
      </c>
      <c r="K389" s="77" t="s">
        <v>451</v>
      </c>
      <c r="L389" s="77" t="s">
        <v>735</v>
      </c>
      <c r="M389" s="62" t="str">
        <f t="shared" si="6"/>
        <v>View on Google Map</v>
      </c>
    </row>
    <row r="390" spans="1:13">
      <c r="A390" s="77">
        <v>362</v>
      </c>
      <c r="B390" s="77" t="s">
        <v>1178</v>
      </c>
      <c r="C390" s="77" t="s">
        <v>451</v>
      </c>
      <c r="D390" s="77" t="s">
        <v>451</v>
      </c>
      <c r="E390" s="77" t="s">
        <v>451</v>
      </c>
      <c r="F390" s="77" t="s">
        <v>451</v>
      </c>
      <c r="G390" s="77" t="s">
        <v>460</v>
      </c>
      <c r="H390" s="77" t="s">
        <v>1179</v>
      </c>
      <c r="I390" s="77" t="s">
        <v>451</v>
      </c>
      <c r="J390" s="77" t="s">
        <v>734</v>
      </c>
      <c r="K390" s="77" t="s">
        <v>451</v>
      </c>
      <c r="L390" s="77" t="s">
        <v>735</v>
      </c>
      <c r="M390" s="62" t="str">
        <f t="shared" si="6"/>
        <v>View on Google Map</v>
      </c>
    </row>
    <row r="391" spans="1:13">
      <c r="A391" s="77">
        <v>363</v>
      </c>
      <c r="B391" s="77" t="s">
        <v>1180</v>
      </c>
      <c r="C391" s="77" t="s">
        <v>451</v>
      </c>
      <c r="D391" s="77" t="s">
        <v>451</v>
      </c>
      <c r="E391" s="77" t="s">
        <v>451</v>
      </c>
      <c r="F391" s="77" t="s">
        <v>451</v>
      </c>
      <c r="G391" s="77" t="s">
        <v>460</v>
      </c>
      <c r="H391" s="77" t="s">
        <v>1181</v>
      </c>
      <c r="I391" s="77" t="s">
        <v>451</v>
      </c>
      <c r="J391" s="77" t="s">
        <v>734</v>
      </c>
      <c r="K391" s="77" t="s">
        <v>451</v>
      </c>
      <c r="L391" s="77" t="s">
        <v>735</v>
      </c>
      <c r="M391" s="62" t="str">
        <f t="shared" si="6"/>
        <v>View on Google Map</v>
      </c>
    </row>
    <row r="392" spans="1:13">
      <c r="A392" s="77">
        <v>364</v>
      </c>
      <c r="B392" s="77" t="s">
        <v>1182</v>
      </c>
      <c r="C392" s="77" t="s">
        <v>451</v>
      </c>
      <c r="D392" s="77" t="s">
        <v>451</v>
      </c>
      <c r="E392" s="77" t="s">
        <v>451</v>
      </c>
      <c r="F392" s="77" t="s">
        <v>451</v>
      </c>
      <c r="G392" s="77" t="s">
        <v>460</v>
      </c>
      <c r="H392" s="77" t="s">
        <v>1183</v>
      </c>
      <c r="I392" s="77" t="s">
        <v>451</v>
      </c>
      <c r="J392" s="77" t="s">
        <v>734</v>
      </c>
      <c r="K392" s="77" t="s">
        <v>451</v>
      </c>
      <c r="L392" s="77" t="s">
        <v>735</v>
      </c>
      <c r="M392" s="62" t="str">
        <f t="shared" si="6"/>
        <v>View on Google Map</v>
      </c>
    </row>
    <row r="393" spans="1:13">
      <c r="A393" s="77">
        <v>365</v>
      </c>
      <c r="B393" s="77" t="s">
        <v>1184</v>
      </c>
      <c r="C393" s="77" t="s">
        <v>451</v>
      </c>
      <c r="D393" s="77" t="s">
        <v>451</v>
      </c>
      <c r="E393" s="77" t="s">
        <v>451</v>
      </c>
      <c r="F393" s="77" t="s">
        <v>451</v>
      </c>
      <c r="G393" s="77" t="s">
        <v>460</v>
      </c>
      <c r="H393" s="77" t="s">
        <v>1185</v>
      </c>
      <c r="I393" s="77" t="s">
        <v>451</v>
      </c>
      <c r="J393" s="77" t="s">
        <v>734</v>
      </c>
      <c r="K393" s="77" t="s">
        <v>451</v>
      </c>
      <c r="L393" s="77" t="s">
        <v>735</v>
      </c>
      <c r="M393" s="62" t="str">
        <f t="shared" si="6"/>
        <v>View on Google Map</v>
      </c>
    </row>
    <row r="394" spans="1:13">
      <c r="A394" s="77">
        <v>366</v>
      </c>
      <c r="B394" s="77" t="s">
        <v>1186</v>
      </c>
      <c r="C394" s="77" t="s">
        <v>451</v>
      </c>
      <c r="D394" s="77" t="s">
        <v>451</v>
      </c>
      <c r="E394" s="77" t="s">
        <v>451</v>
      </c>
      <c r="F394" s="77" t="s">
        <v>451</v>
      </c>
      <c r="G394" s="77" t="s">
        <v>460</v>
      </c>
      <c r="H394" s="77" t="s">
        <v>1187</v>
      </c>
      <c r="I394" s="77" t="s">
        <v>451</v>
      </c>
      <c r="J394" s="77" t="s">
        <v>734</v>
      </c>
      <c r="K394" s="77" t="s">
        <v>451</v>
      </c>
      <c r="L394" s="77" t="s">
        <v>735</v>
      </c>
      <c r="M394" s="62" t="str">
        <f t="shared" si="6"/>
        <v>View on Google Map</v>
      </c>
    </row>
    <row r="395" spans="1:13">
      <c r="A395" s="77">
        <v>367</v>
      </c>
      <c r="B395" s="77" t="s">
        <v>1188</v>
      </c>
      <c r="C395" s="77" t="s">
        <v>451</v>
      </c>
      <c r="D395" s="77" t="s">
        <v>451</v>
      </c>
      <c r="E395" s="77" t="s">
        <v>451</v>
      </c>
      <c r="F395" s="77" t="s">
        <v>451</v>
      </c>
      <c r="G395" s="77" t="s">
        <v>460</v>
      </c>
      <c r="H395" s="77" t="s">
        <v>1189</v>
      </c>
      <c r="I395" s="77" t="s">
        <v>451</v>
      </c>
      <c r="J395" s="77" t="s">
        <v>734</v>
      </c>
      <c r="K395" s="77" t="s">
        <v>451</v>
      </c>
      <c r="L395" s="77" t="s">
        <v>735</v>
      </c>
      <c r="M395" s="62" t="str">
        <f t="shared" si="6"/>
        <v>View on Google Map</v>
      </c>
    </row>
    <row r="396" spans="1:13">
      <c r="A396" s="77">
        <v>368</v>
      </c>
      <c r="B396" s="77" t="s">
        <v>1190</v>
      </c>
      <c r="C396" s="77" t="s">
        <v>451</v>
      </c>
      <c r="D396" s="77" t="s">
        <v>451</v>
      </c>
      <c r="E396" s="77" t="s">
        <v>451</v>
      </c>
      <c r="F396" s="77" t="s">
        <v>451</v>
      </c>
      <c r="G396" s="77" t="s">
        <v>460</v>
      </c>
      <c r="H396" s="77" t="s">
        <v>1191</v>
      </c>
      <c r="I396" s="77" t="s">
        <v>451</v>
      </c>
      <c r="J396" s="77" t="s">
        <v>734</v>
      </c>
      <c r="K396" s="77" t="s">
        <v>451</v>
      </c>
      <c r="L396" s="77" t="s">
        <v>735</v>
      </c>
      <c r="M396" s="62" t="str">
        <f t="shared" si="6"/>
        <v>View on Google Map</v>
      </c>
    </row>
    <row r="397" spans="1:13">
      <c r="A397" s="77">
        <v>369</v>
      </c>
      <c r="B397" s="77" t="s">
        <v>1192</v>
      </c>
      <c r="C397" s="77" t="s">
        <v>451</v>
      </c>
      <c r="D397" s="77" t="s">
        <v>451</v>
      </c>
      <c r="E397" s="77" t="s">
        <v>451</v>
      </c>
      <c r="F397" s="77" t="s">
        <v>451</v>
      </c>
      <c r="G397" s="77" t="s">
        <v>460</v>
      </c>
      <c r="H397" s="77" t="s">
        <v>1193</v>
      </c>
      <c r="I397" s="77" t="s">
        <v>451</v>
      </c>
      <c r="J397" s="77" t="s">
        <v>734</v>
      </c>
      <c r="K397" s="77" t="s">
        <v>451</v>
      </c>
      <c r="L397" s="77" t="s">
        <v>735</v>
      </c>
      <c r="M397" s="62" t="str">
        <f t="shared" si="6"/>
        <v>View on Google Map</v>
      </c>
    </row>
    <row r="398" spans="1:13">
      <c r="A398" s="77">
        <v>1225</v>
      </c>
      <c r="B398" s="77" t="s">
        <v>1194</v>
      </c>
      <c r="C398" s="77" t="s">
        <v>1195</v>
      </c>
      <c r="D398" s="77">
        <v>68.641727000000003</v>
      </c>
      <c r="E398" s="77">
        <v>-149.58665300000001</v>
      </c>
      <c r="F398" s="77">
        <v>724</v>
      </c>
      <c r="G398" s="77" t="s">
        <v>452</v>
      </c>
      <c r="H398" s="77" t="s">
        <v>451</v>
      </c>
      <c r="I398" s="77" t="s">
        <v>451</v>
      </c>
      <c r="J398" s="77" t="s">
        <v>469</v>
      </c>
      <c r="K398" s="77" t="s">
        <v>451</v>
      </c>
      <c r="L398" s="77" t="s">
        <v>451</v>
      </c>
      <c r="M398" s="62" t="str">
        <f t="shared" si="6"/>
        <v>View on Google Map</v>
      </c>
    </row>
    <row r="399" spans="1:13">
      <c r="A399" s="77">
        <v>1220</v>
      </c>
      <c r="B399" s="77" t="s">
        <v>64</v>
      </c>
      <c r="C399" s="77" t="s">
        <v>1196</v>
      </c>
      <c r="D399" s="77">
        <v>68.624410999999995</v>
      </c>
      <c r="E399" s="77">
        <v>-149.609589</v>
      </c>
      <c r="F399" s="77">
        <v>750</v>
      </c>
      <c r="G399" s="77" t="s">
        <v>452</v>
      </c>
      <c r="H399" s="77" t="s">
        <v>451</v>
      </c>
      <c r="I399" s="77" t="s">
        <v>451</v>
      </c>
      <c r="J399" s="77" t="s">
        <v>469</v>
      </c>
      <c r="K399" s="77" t="s">
        <v>451</v>
      </c>
      <c r="L399" s="77" t="s">
        <v>451</v>
      </c>
      <c r="M399" s="62" t="str">
        <f t="shared" si="6"/>
        <v>View on Google Map</v>
      </c>
    </row>
    <row r="400" spans="1:13">
      <c r="A400" s="77">
        <v>1222</v>
      </c>
      <c r="B400" s="77" t="s">
        <v>1197</v>
      </c>
      <c r="C400" s="77" t="s">
        <v>1198</v>
      </c>
      <c r="D400" s="77">
        <v>68.629636000000005</v>
      </c>
      <c r="E400" s="77">
        <v>-149.57565600000001</v>
      </c>
      <c r="F400" s="77">
        <v>755</v>
      </c>
      <c r="G400" s="77" t="s">
        <v>452</v>
      </c>
      <c r="H400" s="77" t="s">
        <v>451</v>
      </c>
      <c r="I400" s="77" t="s">
        <v>451</v>
      </c>
      <c r="J400" s="77" t="s">
        <v>469</v>
      </c>
      <c r="K400" s="77" t="s">
        <v>451</v>
      </c>
      <c r="L400" s="77" t="s">
        <v>451</v>
      </c>
      <c r="M400" s="62" t="str">
        <f t="shared" si="6"/>
        <v>View on Google Map</v>
      </c>
    </row>
    <row r="401" spans="1:13">
      <c r="A401" s="77">
        <v>1228</v>
      </c>
      <c r="B401" s="77" t="s">
        <v>1199</v>
      </c>
      <c r="C401" s="77" t="s">
        <v>1200</v>
      </c>
      <c r="D401" s="77">
        <v>68.634530999999996</v>
      </c>
      <c r="E401" s="77">
        <v>-149.64205799999999</v>
      </c>
      <c r="F401" s="77">
        <v>748</v>
      </c>
      <c r="G401" s="77" t="s">
        <v>452</v>
      </c>
      <c r="H401" s="77" t="s">
        <v>451</v>
      </c>
      <c r="I401" s="77" t="s">
        <v>451</v>
      </c>
      <c r="J401" s="77" t="s">
        <v>469</v>
      </c>
      <c r="K401" s="77" t="s">
        <v>451</v>
      </c>
      <c r="L401" s="77" t="s">
        <v>451</v>
      </c>
      <c r="M401" s="62" t="str">
        <f t="shared" si="6"/>
        <v>View on Google Map</v>
      </c>
    </row>
    <row r="402" spans="1:13">
      <c r="A402" s="77">
        <v>1227</v>
      </c>
      <c r="B402" s="77" t="s">
        <v>1201</v>
      </c>
      <c r="C402" s="77" t="s">
        <v>1202</v>
      </c>
      <c r="D402" s="77">
        <v>68.634039000000001</v>
      </c>
      <c r="E402" s="77">
        <v>-149.63704899999999</v>
      </c>
      <c r="F402" s="77">
        <v>750</v>
      </c>
      <c r="G402" s="77" t="s">
        <v>452</v>
      </c>
      <c r="H402" s="77" t="s">
        <v>451</v>
      </c>
      <c r="I402" s="77" t="s">
        <v>451</v>
      </c>
      <c r="J402" s="77" t="s">
        <v>469</v>
      </c>
      <c r="K402" s="77" t="s">
        <v>451</v>
      </c>
      <c r="L402" s="77" t="s">
        <v>451</v>
      </c>
      <c r="M402" s="62" t="str">
        <f t="shared" si="6"/>
        <v>View on Google Map</v>
      </c>
    </row>
    <row r="403" spans="1:13">
      <c r="A403" s="77">
        <v>1223</v>
      </c>
      <c r="B403" s="77" t="s">
        <v>1203</v>
      </c>
      <c r="C403" s="77" t="s">
        <v>1204</v>
      </c>
      <c r="D403" s="77">
        <v>68.635624000000007</v>
      </c>
      <c r="E403" s="77">
        <v>-149.587064</v>
      </c>
      <c r="F403" s="77">
        <v>745</v>
      </c>
      <c r="G403" s="77" t="s">
        <v>452</v>
      </c>
      <c r="H403" s="77" t="s">
        <v>451</v>
      </c>
      <c r="I403" s="77" t="s">
        <v>451</v>
      </c>
      <c r="J403" s="77" t="s">
        <v>469</v>
      </c>
      <c r="K403" s="77" t="s">
        <v>451</v>
      </c>
      <c r="L403" s="77" t="s">
        <v>451</v>
      </c>
      <c r="M403" s="62" t="str">
        <f t="shared" si="6"/>
        <v>View on Google Map</v>
      </c>
    </row>
    <row r="404" spans="1:13">
      <c r="A404" s="77">
        <v>1224</v>
      </c>
      <c r="B404" s="77" t="s">
        <v>1205</v>
      </c>
      <c r="C404" s="77" t="s">
        <v>1206</v>
      </c>
      <c r="D404" s="77">
        <v>68.638692000000006</v>
      </c>
      <c r="E404" s="77">
        <v>-149.567789</v>
      </c>
      <c r="F404" s="77">
        <v>731</v>
      </c>
      <c r="G404" s="77" t="s">
        <v>452</v>
      </c>
      <c r="H404" s="77" t="s">
        <v>451</v>
      </c>
      <c r="I404" s="77" t="s">
        <v>451</v>
      </c>
      <c r="J404" s="77" t="s">
        <v>469</v>
      </c>
      <c r="K404" s="77" t="s">
        <v>451</v>
      </c>
      <c r="L404" s="77" t="s">
        <v>451</v>
      </c>
      <c r="M404" s="62" t="str">
        <f t="shared" si="6"/>
        <v>View on Google Map</v>
      </c>
    </row>
    <row r="405" spans="1:13">
      <c r="A405" s="77">
        <v>1221</v>
      </c>
      <c r="B405" s="77" t="s">
        <v>1207</v>
      </c>
      <c r="C405" s="77" t="s">
        <v>1208</v>
      </c>
      <c r="D405" s="77">
        <v>68.625440999999995</v>
      </c>
      <c r="E405" s="77">
        <v>-149.60287299999999</v>
      </c>
      <c r="F405" s="77">
        <v>717</v>
      </c>
      <c r="G405" s="77" t="s">
        <v>452</v>
      </c>
      <c r="H405" s="77" t="s">
        <v>451</v>
      </c>
      <c r="I405" s="77" t="s">
        <v>451</v>
      </c>
      <c r="J405" s="77" t="s">
        <v>469</v>
      </c>
      <c r="K405" s="77" t="s">
        <v>451</v>
      </c>
      <c r="L405" s="77" t="s">
        <v>451</v>
      </c>
      <c r="M405" s="62" t="str">
        <f t="shared" si="6"/>
        <v>View on Google Map</v>
      </c>
    </row>
    <row r="406" spans="1:13">
      <c r="A406" s="77">
        <v>1226</v>
      </c>
      <c r="B406" s="77" t="s">
        <v>1207</v>
      </c>
      <c r="C406" s="77" t="s">
        <v>1209</v>
      </c>
      <c r="D406" s="77">
        <v>68.647621999999998</v>
      </c>
      <c r="E406" s="77">
        <v>-149.57729800000001</v>
      </c>
      <c r="F406" s="77">
        <v>719</v>
      </c>
      <c r="G406" s="77" t="s">
        <v>452</v>
      </c>
      <c r="H406" s="77" t="s">
        <v>451</v>
      </c>
      <c r="I406" s="77" t="s">
        <v>451</v>
      </c>
      <c r="J406" s="77" t="s">
        <v>469</v>
      </c>
      <c r="K406" s="77" t="s">
        <v>451</v>
      </c>
      <c r="L406" s="77" t="s">
        <v>451</v>
      </c>
      <c r="M406" s="62" t="str">
        <f t="shared" si="6"/>
        <v>View on Google Map</v>
      </c>
    </row>
    <row r="407" spans="1:13">
      <c r="A407" s="77">
        <v>487</v>
      </c>
      <c r="B407" s="77" t="s">
        <v>1210</v>
      </c>
      <c r="C407" s="77" t="s">
        <v>451</v>
      </c>
      <c r="D407" s="77">
        <v>68.961583332999993</v>
      </c>
      <c r="E407" s="77">
        <v>-150.20961666700001</v>
      </c>
      <c r="F407" s="77">
        <v>380</v>
      </c>
      <c r="G407" s="77" t="s">
        <v>460</v>
      </c>
      <c r="H407" s="77" t="s">
        <v>451</v>
      </c>
      <c r="I407" s="77" t="s">
        <v>451</v>
      </c>
      <c r="J407" s="77" t="s">
        <v>504</v>
      </c>
      <c r="K407" s="77" t="s">
        <v>451</v>
      </c>
      <c r="L407" s="77" t="s">
        <v>457</v>
      </c>
      <c r="M407" s="62" t="str">
        <f t="shared" si="6"/>
        <v>View on Google Map</v>
      </c>
    </row>
    <row r="408" spans="1:13">
      <c r="A408" s="77">
        <v>23</v>
      </c>
      <c r="B408" s="77" t="s">
        <v>1211</v>
      </c>
      <c r="C408" s="77" t="s">
        <v>451</v>
      </c>
      <c r="D408" s="77" t="s">
        <v>451</v>
      </c>
      <c r="E408" s="77" t="s">
        <v>451</v>
      </c>
      <c r="F408" s="77" t="s">
        <v>451</v>
      </c>
      <c r="G408" s="77" t="s">
        <v>468</v>
      </c>
      <c r="H408" s="77" t="s">
        <v>451</v>
      </c>
      <c r="I408" s="77" t="s">
        <v>451</v>
      </c>
      <c r="J408" s="77" t="s">
        <v>469</v>
      </c>
      <c r="K408" s="77" t="s">
        <v>451</v>
      </c>
      <c r="L408" s="77" t="s">
        <v>451</v>
      </c>
      <c r="M408" s="62" t="str">
        <f t="shared" si="6"/>
        <v>View on Google Map</v>
      </c>
    </row>
    <row r="409" spans="1:13">
      <c r="A409" s="77">
        <v>529</v>
      </c>
      <c r="B409" s="77" t="s">
        <v>1212</v>
      </c>
      <c r="C409" s="77" t="s">
        <v>814</v>
      </c>
      <c r="D409" s="77">
        <v>68.672934999999995</v>
      </c>
      <c r="E409" s="77">
        <v>-149.61752300000001</v>
      </c>
      <c r="F409" s="77">
        <v>708</v>
      </c>
      <c r="G409" s="77" t="s">
        <v>460</v>
      </c>
      <c r="H409" s="77" t="s">
        <v>451</v>
      </c>
      <c r="I409" s="77" t="s">
        <v>451</v>
      </c>
      <c r="J409" s="77" t="s">
        <v>461</v>
      </c>
      <c r="K409" s="77" t="s">
        <v>451</v>
      </c>
      <c r="L409" s="77" t="s">
        <v>815</v>
      </c>
      <c r="M409" s="62" t="str">
        <f t="shared" si="6"/>
        <v>View on Google Map</v>
      </c>
    </row>
    <row r="410" spans="1:13">
      <c r="A410" s="77">
        <v>494</v>
      </c>
      <c r="B410" s="77" t="s">
        <v>1213</v>
      </c>
      <c r="C410" s="77" t="s">
        <v>451</v>
      </c>
      <c r="D410" s="77">
        <v>68.673756999999995</v>
      </c>
      <c r="E410" s="77">
        <v>-149.618268</v>
      </c>
      <c r="F410" s="77">
        <v>701</v>
      </c>
      <c r="G410" s="77" t="s">
        <v>468</v>
      </c>
      <c r="H410" s="77" t="s">
        <v>451</v>
      </c>
      <c r="I410" s="77" t="s">
        <v>451</v>
      </c>
      <c r="J410" s="77" t="s">
        <v>1214</v>
      </c>
      <c r="K410" s="77" t="s">
        <v>451</v>
      </c>
      <c r="L410" s="77" t="s">
        <v>815</v>
      </c>
      <c r="M410" s="62" t="str">
        <f t="shared" si="6"/>
        <v>View on Google Map</v>
      </c>
    </row>
    <row r="411" spans="1:13">
      <c r="A411" s="77">
        <v>189</v>
      </c>
      <c r="B411" s="77" t="s">
        <v>1215</v>
      </c>
      <c r="C411" s="77" t="s">
        <v>451</v>
      </c>
      <c r="D411" s="77">
        <v>68.622</v>
      </c>
      <c r="E411" s="77">
        <v>-149.590666</v>
      </c>
      <c r="F411" s="77">
        <v>725</v>
      </c>
      <c r="G411" s="77" t="s">
        <v>468</v>
      </c>
      <c r="H411" s="77" t="s">
        <v>1216</v>
      </c>
      <c r="I411" s="77" t="s">
        <v>1217</v>
      </c>
      <c r="J411" s="77" t="s">
        <v>469</v>
      </c>
      <c r="K411" s="77" t="s">
        <v>451</v>
      </c>
      <c r="L411" s="77" t="s">
        <v>823</v>
      </c>
      <c r="M411" s="62" t="str">
        <f t="shared" si="6"/>
        <v>View on Google Map</v>
      </c>
    </row>
    <row r="412" spans="1:13">
      <c r="A412" s="77">
        <v>273</v>
      </c>
      <c r="B412" s="77" t="s">
        <v>1218</v>
      </c>
      <c r="C412" s="77" t="s">
        <v>451</v>
      </c>
      <c r="D412" s="77">
        <v>68.620166670000003</v>
      </c>
      <c r="E412" s="77">
        <v>-149.56816599999999</v>
      </c>
      <c r="F412" s="77">
        <v>739</v>
      </c>
      <c r="G412" s="77" t="s">
        <v>468</v>
      </c>
      <c r="H412" s="77" t="s">
        <v>1219</v>
      </c>
      <c r="I412" s="77" t="s">
        <v>1220</v>
      </c>
      <c r="J412" s="77" t="s">
        <v>469</v>
      </c>
      <c r="K412" s="77" t="s">
        <v>451</v>
      </c>
      <c r="L412" s="77" t="s">
        <v>823</v>
      </c>
      <c r="M412" s="62" t="str">
        <f t="shared" si="6"/>
        <v>View on Google Map</v>
      </c>
    </row>
    <row r="413" spans="1:13">
      <c r="A413" s="77">
        <v>1175</v>
      </c>
      <c r="B413" s="77" t="s">
        <v>1221</v>
      </c>
      <c r="C413" s="77" t="s">
        <v>451</v>
      </c>
      <c r="D413" s="77">
        <v>68.951925000000003</v>
      </c>
      <c r="E413" s="77">
        <v>-150.20976669999999</v>
      </c>
      <c r="F413" s="77" t="s">
        <v>451</v>
      </c>
      <c r="G413" s="77" t="s">
        <v>468</v>
      </c>
      <c r="H413" s="77" t="s">
        <v>451</v>
      </c>
      <c r="I413" s="77" t="s">
        <v>451</v>
      </c>
      <c r="J413" s="77" t="s">
        <v>951</v>
      </c>
      <c r="K413" s="77" t="s">
        <v>451</v>
      </c>
      <c r="L413" s="77" t="s">
        <v>451</v>
      </c>
      <c r="M413" s="62" t="str">
        <f t="shared" si="6"/>
        <v>View on Google Map</v>
      </c>
    </row>
    <row r="414" spans="1:13">
      <c r="A414" s="77">
        <v>103</v>
      </c>
      <c r="B414" s="77" t="s">
        <v>1222</v>
      </c>
      <c r="C414" s="77" t="s">
        <v>451</v>
      </c>
      <c r="D414" s="77">
        <v>68.639893935800004</v>
      </c>
      <c r="E414" s="77">
        <v>-149.606965643</v>
      </c>
      <c r="F414" s="77">
        <v>731</v>
      </c>
      <c r="G414" s="77" t="s">
        <v>460</v>
      </c>
      <c r="H414" s="77" t="s">
        <v>1223</v>
      </c>
      <c r="I414" s="77" t="s">
        <v>1224</v>
      </c>
      <c r="J414" s="77" t="s">
        <v>469</v>
      </c>
      <c r="K414" s="77" t="s">
        <v>451</v>
      </c>
      <c r="L414" s="77" t="s">
        <v>451</v>
      </c>
      <c r="M414" s="62" t="str">
        <f t="shared" si="6"/>
        <v>View on Google Map</v>
      </c>
    </row>
    <row r="415" spans="1:13">
      <c r="A415" s="77">
        <v>104</v>
      </c>
      <c r="B415" s="77" t="s">
        <v>1225</v>
      </c>
      <c r="C415" s="77" t="s">
        <v>451</v>
      </c>
      <c r="D415" s="77">
        <v>68.640947234500004</v>
      </c>
      <c r="E415" s="77">
        <v>-149.625086307</v>
      </c>
      <c r="F415" s="77">
        <v>724</v>
      </c>
      <c r="G415" s="77" t="s">
        <v>460</v>
      </c>
      <c r="H415" s="77" t="s">
        <v>1226</v>
      </c>
      <c r="I415" s="77" t="s">
        <v>1227</v>
      </c>
      <c r="J415" s="77" t="s">
        <v>469</v>
      </c>
      <c r="K415" s="77" t="s">
        <v>451</v>
      </c>
      <c r="L415" s="77" t="s">
        <v>451</v>
      </c>
      <c r="M415" s="62" t="str">
        <f t="shared" si="6"/>
        <v>View on Google Map</v>
      </c>
    </row>
    <row r="416" spans="1:13">
      <c r="A416" s="77">
        <v>105</v>
      </c>
      <c r="B416" s="77" t="s">
        <v>1228</v>
      </c>
      <c r="C416" s="77" t="s">
        <v>451</v>
      </c>
      <c r="D416" s="77">
        <v>68.642385337299999</v>
      </c>
      <c r="E416" s="77">
        <v>-149.630769851</v>
      </c>
      <c r="F416" s="77" t="s">
        <v>451</v>
      </c>
      <c r="G416" s="77" t="s">
        <v>460</v>
      </c>
      <c r="H416" s="77" t="s">
        <v>1229</v>
      </c>
      <c r="I416" s="77" t="s">
        <v>451</v>
      </c>
      <c r="J416" s="77" t="s">
        <v>469</v>
      </c>
      <c r="K416" s="77" t="s">
        <v>451</v>
      </c>
      <c r="L416" s="77" t="s">
        <v>451</v>
      </c>
      <c r="M416" s="62" t="str">
        <f t="shared" si="6"/>
        <v>View on Google Map</v>
      </c>
    </row>
    <row r="417" spans="1:13">
      <c r="A417" s="77">
        <v>245</v>
      </c>
      <c r="B417" s="77" t="s">
        <v>1230</v>
      </c>
      <c r="C417" s="77" t="s">
        <v>451</v>
      </c>
      <c r="D417" s="77">
        <v>68.645120702900002</v>
      </c>
      <c r="E417" s="77">
        <v>-149.64028014900001</v>
      </c>
      <c r="F417" s="77" t="s">
        <v>451</v>
      </c>
      <c r="G417" s="77" t="s">
        <v>460</v>
      </c>
      <c r="H417" s="77" t="s">
        <v>1231</v>
      </c>
      <c r="I417" s="77" t="s">
        <v>451</v>
      </c>
      <c r="J417" s="77" t="s">
        <v>469</v>
      </c>
      <c r="K417" s="77" t="s">
        <v>451</v>
      </c>
      <c r="L417" s="77" t="s">
        <v>451</v>
      </c>
      <c r="M417" s="62" t="str">
        <f t="shared" si="6"/>
        <v>View on Google Map</v>
      </c>
    </row>
    <row r="418" spans="1:13">
      <c r="A418" s="77">
        <v>240</v>
      </c>
      <c r="B418" s="77" t="s">
        <v>1232</v>
      </c>
      <c r="C418" s="77" t="s">
        <v>451</v>
      </c>
      <c r="D418" s="77">
        <v>68.645428204500007</v>
      </c>
      <c r="E418" s="77">
        <v>-149.62885531000001</v>
      </c>
      <c r="F418" s="77" t="s">
        <v>451</v>
      </c>
      <c r="G418" s="77" t="s">
        <v>460</v>
      </c>
      <c r="H418" s="77" t="s">
        <v>1233</v>
      </c>
      <c r="I418" s="77" t="s">
        <v>451</v>
      </c>
      <c r="J418" s="77" t="s">
        <v>469</v>
      </c>
      <c r="K418" s="77" t="s">
        <v>451</v>
      </c>
      <c r="L418" s="77" t="s">
        <v>451</v>
      </c>
      <c r="M418" s="62" t="str">
        <f t="shared" si="6"/>
        <v>View on Google Map</v>
      </c>
    </row>
    <row r="419" spans="1:13">
      <c r="A419" s="77">
        <v>508</v>
      </c>
      <c r="B419" s="77" t="s">
        <v>1234</v>
      </c>
      <c r="C419" s="77" t="s">
        <v>459</v>
      </c>
      <c r="D419" s="77">
        <v>68.396288999999996</v>
      </c>
      <c r="E419" s="77">
        <v>-150.58781500000001</v>
      </c>
      <c r="F419" s="77">
        <v>841</v>
      </c>
      <c r="G419" s="77" t="s">
        <v>460</v>
      </c>
      <c r="H419" s="77" t="s">
        <v>462</v>
      </c>
      <c r="I419" s="77" t="s">
        <v>451</v>
      </c>
      <c r="J419" s="77" t="s">
        <v>461</v>
      </c>
      <c r="K419" s="77" t="s">
        <v>451</v>
      </c>
      <c r="L419" s="77" t="s">
        <v>462</v>
      </c>
      <c r="M419" s="62" t="str">
        <f t="shared" si="6"/>
        <v>View on Google Map</v>
      </c>
    </row>
    <row r="420" spans="1:13">
      <c r="A420" s="77">
        <v>513</v>
      </c>
      <c r="B420" s="77" t="s">
        <v>1235</v>
      </c>
      <c r="C420" s="77" t="s">
        <v>459</v>
      </c>
      <c r="D420" s="77">
        <v>68.362488999999997</v>
      </c>
      <c r="E420" s="77">
        <v>-151.70717300000001</v>
      </c>
      <c r="F420" s="77">
        <v>792</v>
      </c>
      <c r="G420" s="77" t="s">
        <v>460</v>
      </c>
      <c r="H420" s="77" t="s">
        <v>451</v>
      </c>
      <c r="I420" s="77" t="s">
        <v>451</v>
      </c>
      <c r="J420" s="77" t="s">
        <v>461</v>
      </c>
      <c r="K420" s="77" t="s">
        <v>451</v>
      </c>
      <c r="L420" s="77" t="s">
        <v>462</v>
      </c>
      <c r="M420" s="62" t="str">
        <f t="shared" si="6"/>
        <v>View on Google Map</v>
      </c>
    </row>
    <row r="421" spans="1:13">
      <c r="A421" s="77">
        <v>512</v>
      </c>
      <c r="B421" s="77" t="s">
        <v>1236</v>
      </c>
      <c r="C421" s="77" t="s">
        <v>459</v>
      </c>
      <c r="D421" s="77">
        <v>68.351332999999997</v>
      </c>
      <c r="E421" s="77">
        <v>-151.702167</v>
      </c>
      <c r="F421" s="77">
        <v>789</v>
      </c>
      <c r="G421" s="77" t="s">
        <v>460</v>
      </c>
      <c r="H421" s="77" t="s">
        <v>451</v>
      </c>
      <c r="I421" s="77" t="s">
        <v>451</v>
      </c>
      <c r="J421" s="77" t="s">
        <v>461</v>
      </c>
      <c r="K421" s="77" t="s">
        <v>451</v>
      </c>
      <c r="L421" s="77" t="s">
        <v>462</v>
      </c>
      <c r="M421" s="62" t="str">
        <f t="shared" si="6"/>
        <v>View on Google Map</v>
      </c>
    </row>
    <row r="422" spans="1:13">
      <c r="A422" s="77">
        <v>511</v>
      </c>
      <c r="B422" s="77" t="s">
        <v>1237</v>
      </c>
      <c r="C422" s="77" t="s">
        <v>459</v>
      </c>
      <c r="D422" s="77">
        <v>68.347333000000006</v>
      </c>
      <c r="E422" s="77">
        <v>-151.70316700000001</v>
      </c>
      <c r="F422" s="77">
        <v>798</v>
      </c>
      <c r="G422" s="77" t="s">
        <v>460</v>
      </c>
      <c r="H422" s="77" t="s">
        <v>451</v>
      </c>
      <c r="I422" s="77" t="s">
        <v>451</v>
      </c>
      <c r="J422" s="77" t="s">
        <v>461</v>
      </c>
      <c r="K422" s="77" t="s">
        <v>451</v>
      </c>
      <c r="L422" s="77" t="s">
        <v>462</v>
      </c>
      <c r="M422" s="62" t="str">
        <f t="shared" si="6"/>
        <v>View on Google Map</v>
      </c>
    </row>
    <row r="423" spans="1:13">
      <c r="A423" s="77">
        <v>510</v>
      </c>
      <c r="B423" s="77" t="s">
        <v>1238</v>
      </c>
      <c r="C423" s="77" t="s">
        <v>459</v>
      </c>
      <c r="D423" s="77">
        <v>68.351332999999997</v>
      </c>
      <c r="E423" s="77">
        <v>-151.702167</v>
      </c>
      <c r="F423" s="77">
        <v>810</v>
      </c>
      <c r="G423" s="77" t="s">
        <v>460</v>
      </c>
      <c r="H423" s="77" t="s">
        <v>451</v>
      </c>
      <c r="I423" s="77" t="s">
        <v>451</v>
      </c>
      <c r="J423" s="77" t="s">
        <v>461</v>
      </c>
      <c r="K423" s="77" t="s">
        <v>451</v>
      </c>
      <c r="L423" s="77" t="s">
        <v>462</v>
      </c>
      <c r="M423" s="62" t="str">
        <f t="shared" si="6"/>
        <v>View on Google Map</v>
      </c>
    </row>
    <row r="424" spans="1:13">
      <c r="A424" s="77">
        <v>233</v>
      </c>
      <c r="B424" s="77" t="s">
        <v>1239</v>
      </c>
      <c r="C424" s="77" t="s">
        <v>451</v>
      </c>
      <c r="D424" s="77">
        <v>68.643783170000006</v>
      </c>
      <c r="E424" s="77">
        <v>-149.58949436200001</v>
      </c>
      <c r="F424" s="77">
        <v>716</v>
      </c>
      <c r="G424" s="77" t="s">
        <v>460</v>
      </c>
      <c r="H424" s="77" t="s">
        <v>1240</v>
      </c>
      <c r="I424" s="77" t="s">
        <v>451</v>
      </c>
      <c r="J424" s="77" t="s">
        <v>469</v>
      </c>
      <c r="K424" s="77" t="s">
        <v>451</v>
      </c>
      <c r="L424" s="77" t="s">
        <v>451</v>
      </c>
      <c r="M424" s="62" t="str">
        <f t="shared" si="6"/>
        <v>View on Google Map</v>
      </c>
    </row>
    <row r="425" spans="1:13">
      <c r="A425" s="77">
        <v>147</v>
      </c>
      <c r="B425" s="77" t="s">
        <v>1241</v>
      </c>
      <c r="C425" s="77" t="s">
        <v>451</v>
      </c>
      <c r="D425" s="77">
        <v>68.646325005500003</v>
      </c>
      <c r="E425" s="77">
        <v>-149.58272243900001</v>
      </c>
      <c r="F425" s="77">
        <v>716</v>
      </c>
      <c r="G425" s="77" t="s">
        <v>460</v>
      </c>
      <c r="H425" s="77" t="s">
        <v>1242</v>
      </c>
      <c r="I425" s="77" t="s">
        <v>451</v>
      </c>
      <c r="J425" s="77" t="s">
        <v>469</v>
      </c>
      <c r="K425" s="77" t="s">
        <v>451</v>
      </c>
      <c r="L425" s="77" t="s">
        <v>451</v>
      </c>
      <c r="M425" s="62" t="str">
        <f t="shared" si="6"/>
        <v>View on Google Map</v>
      </c>
    </row>
    <row r="426" spans="1:13">
      <c r="A426" s="77">
        <v>234</v>
      </c>
      <c r="B426" s="77" t="s">
        <v>1243</v>
      </c>
      <c r="C426" s="77" t="s">
        <v>451</v>
      </c>
      <c r="D426" s="77">
        <v>68.650192520999994</v>
      </c>
      <c r="E426" s="77">
        <v>-149.58255972500001</v>
      </c>
      <c r="F426" s="77">
        <v>731</v>
      </c>
      <c r="G426" s="77" t="s">
        <v>460</v>
      </c>
      <c r="H426" s="77" t="s">
        <v>1244</v>
      </c>
      <c r="I426" s="77" t="s">
        <v>451</v>
      </c>
      <c r="J426" s="77" t="s">
        <v>469</v>
      </c>
      <c r="K426" s="77" t="s">
        <v>451</v>
      </c>
      <c r="L426" s="77" t="s">
        <v>451</v>
      </c>
      <c r="M426" s="62" t="str">
        <f t="shared" si="6"/>
        <v>View on Google Map</v>
      </c>
    </row>
    <row r="427" spans="1:13">
      <c r="A427" s="77">
        <v>306</v>
      </c>
      <c r="B427" s="77" t="s">
        <v>1245</v>
      </c>
      <c r="C427" s="77" t="s">
        <v>451</v>
      </c>
      <c r="D427" s="77" t="s">
        <v>451</v>
      </c>
      <c r="E427" s="77" t="s">
        <v>451</v>
      </c>
      <c r="F427" s="77">
        <v>731</v>
      </c>
      <c r="G427" s="77" t="s">
        <v>460</v>
      </c>
      <c r="H427" s="77" t="s">
        <v>1246</v>
      </c>
      <c r="I427" s="77" t="s">
        <v>451</v>
      </c>
      <c r="J427" s="77" t="s">
        <v>469</v>
      </c>
      <c r="K427" s="77" t="s">
        <v>451</v>
      </c>
      <c r="L427" s="77" t="s">
        <v>451</v>
      </c>
      <c r="M427" s="62" t="str">
        <f t="shared" si="6"/>
        <v>View on Google Map</v>
      </c>
    </row>
    <row r="428" spans="1:13">
      <c r="A428" s="77">
        <v>235</v>
      </c>
      <c r="B428" s="77" t="s">
        <v>1247</v>
      </c>
      <c r="C428" s="77" t="s">
        <v>451</v>
      </c>
      <c r="D428" s="77" t="s">
        <v>451</v>
      </c>
      <c r="E428" s="77" t="s">
        <v>451</v>
      </c>
      <c r="F428" s="77">
        <v>716</v>
      </c>
      <c r="G428" s="77" t="s">
        <v>460</v>
      </c>
      <c r="H428" s="77" t="s">
        <v>1248</v>
      </c>
      <c r="I428" s="77" t="s">
        <v>451</v>
      </c>
      <c r="J428" s="77" t="s">
        <v>469</v>
      </c>
      <c r="K428" s="77" t="s">
        <v>451</v>
      </c>
      <c r="L428" s="77" t="s">
        <v>451</v>
      </c>
      <c r="M428" s="62" t="str">
        <f t="shared" si="6"/>
        <v>View on Google Map</v>
      </c>
    </row>
    <row r="429" spans="1:13">
      <c r="A429" s="77">
        <v>307</v>
      </c>
      <c r="B429" s="77" t="s">
        <v>1249</v>
      </c>
      <c r="C429" s="77" t="s">
        <v>451</v>
      </c>
      <c r="D429" s="77" t="s">
        <v>451</v>
      </c>
      <c r="E429" s="77" t="s">
        <v>451</v>
      </c>
      <c r="F429" s="77">
        <v>716</v>
      </c>
      <c r="G429" s="77" t="s">
        <v>460</v>
      </c>
      <c r="H429" s="77" t="s">
        <v>1250</v>
      </c>
      <c r="I429" s="77" t="s">
        <v>451</v>
      </c>
      <c r="J429" s="77" t="s">
        <v>469</v>
      </c>
      <c r="K429" s="77" t="s">
        <v>451</v>
      </c>
      <c r="L429" s="77" t="s">
        <v>451</v>
      </c>
      <c r="M429" s="62" t="str">
        <f t="shared" si="6"/>
        <v>View on Google Map</v>
      </c>
    </row>
    <row r="430" spans="1:13">
      <c r="A430" s="77">
        <v>236</v>
      </c>
      <c r="B430" s="77" t="s">
        <v>1251</v>
      </c>
      <c r="C430" s="77" t="s">
        <v>451</v>
      </c>
      <c r="D430" s="77">
        <v>68.653572283900004</v>
      </c>
      <c r="E430" s="77">
        <v>-149.58091106399999</v>
      </c>
      <c r="F430" s="77">
        <v>731</v>
      </c>
      <c r="G430" s="77" t="s">
        <v>460</v>
      </c>
      <c r="H430" s="77" t="s">
        <v>1252</v>
      </c>
      <c r="I430" s="77" t="s">
        <v>451</v>
      </c>
      <c r="J430" s="77" t="s">
        <v>469</v>
      </c>
      <c r="K430" s="77" t="s">
        <v>451</v>
      </c>
      <c r="L430" s="77" t="s">
        <v>451</v>
      </c>
      <c r="M430" s="62" t="str">
        <f t="shared" si="6"/>
        <v>View on Google Map</v>
      </c>
    </row>
    <row r="431" spans="1:13">
      <c r="A431" s="77">
        <v>308</v>
      </c>
      <c r="B431" s="77" t="s">
        <v>1253</v>
      </c>
      <c r="C431" s="77" t="s">
        <v>451</v>
      </c>
      <c r="D431" s="77">
        <v>68.652551279199997</v>
      </c>
      <c r="E431" s="77">
        <v>-149.58676006799999</v>
      </c>
      <c r="F431" s="77">
        <v>731</v>
      </c>
      <c r="G431" s="77" t="s">
        <v>460</v>
      </c>
      <c r="H431" s="77" t="s">
        <v>1254</v>
      </c>
      <c r="I431" s="77" t="s">
        <v>451</v>
      </c>
      <c r="J431" s="77" t="s">
        <v>469</v>
      </c>
      <c r="K431" s="77" t="s">
        <v>451</v>
      </c>
      <c r="L431" s="77" t="s">
        <v>451</v>
      </c>
      <c r="M431" s="62" t="str">
        <f t="shared" si="6"/>
        <v>View on Google Map</v>
      </c>
    </row>
    <row r="432" spans="1:13">
      <c r="A432" s="77">
        <v>446</v>
      </c>
      <c r="B432" s="77" t="s">
        <v>1255</v>
      </c>
      <c r="C432" s="77" t="s">
        <v>451</v>
      </c>
      <c r="D432" s="77" t="s">
        <v>451</v>
      </c>
      <c r="E432" s="77" t="s">
        <v>451</v>
      </c>
      <c r="F432" s="77">
        <v>747</v>
      </c>
      <c r="G432" s="77" t="s">
        <v>460</v>
      </c>
      <c r="H432" s="77" t="s">
        <v>1256</v>
      </c>
      <c r="I432" s="77" t="s">
        <v>451</v>
      </c>
      <c r="J432" s="77" t="s">
        <v>469</v>
      </c>
      <c r="K432" s="77" t="s">
        <v>451</v>
      </c>
      <c r="L432" s="77" t="s">
        <v>451</v>
      </c>
      <c r="M432" s="62" t="str">
        <f t="shared" si="6"/>
        <v>View on Google Map</v>
      </c>
    </row>
    <row r="433" spans="1:13">
      <c r="A433" s="77">
        <v>447</v>
      </c>
      <c r="B433" s="77" t="s">
        <v>1257</v>
      </c>
      <c r="C433" s="77" t="s">
        <v>451</v>
      </c>
      <c r="D433" s="77" t="s">
        <v>451</v>
      </c>
      <c r="E433" s="77" t="s">
        <v>451</v>
      </c>
      <c r="F433" s="77" t="s">
        <v>451</v>
      </c>
      <c r="G433" s="77" t="s">
        <v>460</v>
      </c>
      <c r="H433" s="77" t="s">
        <v>1258</v>
      </c>
      <c r="I433" s="77" t="s">
        <v>451</v>
      </c>
      <c r="J433" s="77" t="s">
        <v>469</v>
      </c>
      <c r="K433" s="77" t="s">
        <v>451</v>
      </c>
      <c r="L433" s="77" t="s">
        <v>451</v>
      </c>
      <c r="M433" s="62" t="str">
        <f t="shared" si="6"/>
        <v>View on Google Map</v>
      </c>
    </row>
    <row r="434" spans="1:13">
      <c r="A434" s="77">
        <v>504</v>
      </c>
      <c r="B434" s="77" t="s">
        <v>1259</v>
      </c>
      <c r="C434" s="77" t="s">
        <v>451</v>
      </c>
      <c r="D434" s="77" t="s">
        <v>451</v>
      </c>
      <c r="E434" s="77" t="s">
        <v>451</v>
      </c>
      <c r="F434" s="77">
        <v>731</v>
      </c>
      <c r="G434" s="77" t="s">
        <v>460</v>
      </c>
      <c r="H434" s="77" t="s">
        <v>451</v>
      </c>
      <c r="I434" s="77" t="s">
        <v>451</v>
      </c>
      <c r="J434" s="77" t="s">
        <v>469</v>
      </c>
      <c r="K434" s="77" t="s">
        <v>451</v>
      </c>
      <c r="L434" s="77" t="s">
        <v>451</v>
      </c>
      <c r="M434" s="62" t="str">
        <f t="shared" si="6"/>
        <v>View on Google Map</v>
      </c>
    </row>
    <row r="435" spans="1:13">
      <c r="A435" s="77">
        <v>108</v>
      </c>
      <c r="B435" s="77" t="s">
        <v>1260</v>
      </c>
      <c r="C435" s="77" t="s">
        <v>451</v>
      </c>
      <c r="D435" s="77">
        <v>68.650000000000006</v>
      </c>
      <c r="E435" s="77">
        <v>-149.61666666666667</v>
      </c>
      <c r="F435" s="77">
        <v>699</v>
      </c>
      <c r="G435" s="77" t="s">
        <v>460</v>
      </c>
      <c r="H435" s="77" t="s">
        <v>1261</v>
      </c>
      <c r="I435" s="77" t="s">
        <v>451</v>
      </c>
      <c r="J435" s="77" t="s">
        <v>469</v>
      </c>
      <c r="K435" s="77" t="s">
        <v>451</v>
      </c>
      <c r="L435" s="77" t="s">
        <v>451</v>
      </c>
      <c r="M435" s="62" t="str">
        <f t="shared" si="6"/>
        <v>View on Google Map</v>
      </c>
    </row>
    <row r="436" spans="1:13">
      <c r="A436" s="77">
        <v>309</v>
      </c>
      <c r="B436" s="77" t="s">
        <v>1262</v>
      </c>
      <c r="C436" s="77" t="s">
        <v>451</v>
      </c>
      <c r="D436" s="77" t="s">
        <v>451</v>
      </c>
      <c r="E436" s="77" t="s">
        <v>451</v>
      </c>
      <c r="F436" s="77" t="s">
        <v>451</v>
      </c>
      <c r="G436" s="77" t="s">
        <v>460</v>
      </c>
      <c r="H436" s="77" t="s">
        <v>1263</v>
      </c>
      <c r="I436" s="77" t="s">
        <v>451</v>
      </c>
      <c r="J436" s="77" t="s">
        <v>469</v>
      </c>
      <c r="K436" s="77" t="s">
        <v>451</v>
      </c>
      <c r="L436" s="77" t="s">
        <v>451</v>
      </c>
      <c r="M436" s="62" t="str">
        <f t="shared" si="6"/>
        <v>View on Google Map</v>
      </c>
    </row>
    <row r="437" spans="1:13">
      <c r="A437" s="77">
        <v>109</v>
      </c>
      <c r="B437" s="77" t="s">
        <v>1264</v>
      </c>
      <c r="C437" s="77" t="s">
        <v>451</v>
      </c>
      <c r="D437" s="77">
        <v>68.683333333333337</v>
      </c>
      <c r="E437" s="77">
        <v>-149.61666666666667</v>
      </c>
      <c r="F437" s="77">
        <v>701</v>
      </c>
      <c r="G437" s="77" t="s">
        <v>460</v>
      </c>
      <c r="H437" s="77" t="s">
        <v>1265</v>
      </c>
      <c r="I437" s="77" t="s">
        <v>451</v>
      </c>
      <c r="J437" s="77" t="s">
        <v>469</v>
      </c>
      <c r="K437" s="77" t="s">
        <v>451</v>
      </c>
      <c r="L437" s="77" t="s">
        <v>451</v>
      </c>
      <c r="M437" s="62" t="str">
        <f t="shared" si="6"/>
        <v>View on Google Map</v>
      </c>
    </row>
    <row r="438" spans="1:13">
      <c r="A438" s="77">
        <v>497</v>
      </c>
      <c r="B438" s="77" t="s">
        <v>1266</v>
      </c>
      <c r="C438" s="77" t="s">
        <v>1267</v>
      </c>
      <c r="D438" s="77">
        <v>68.674931999999998</v>
      </c>
      <c r="E438" s="77">
        <v>-149.625439</v>
      </c>
      <c r="F438" s="77">
        <v>701</v>
      </c>
      <c r="G438" s="77" t="s">
        <v>460</v>
      </c>
      <c r="H438" s="77" t="s">
        <v>451</v>
      </c>
      <c r="I438" s="77" t="s">
        <v>451</v>
      </c>
      <c r="J438" s="77" t="s">
        <v>1214</v>
      </c>
      <c r="K438" s="77" t="s">
        <v>451</v>
      </c>
      <c r="L438" s="77" t="s">
        <v>815</v>
      </c>
      <c r="M438" s="62" t="str">
        <f t="shared" si="6"/>
        <v>View on Google Map</v>
      </c>
    </row>
    <row r="439" spans="1:13">
      <c r="A439" s="77">
        <v>498</v>
      </c>
      <c r="B439" s="77" t="s">
        <v>1268</v>
      </c>
      <c r="C439" s="77" t="s">
        <v>451</v>
      </c>
      <c r="D439" s="77">
        <v>68.677723</v>
      </c>
      <c r="E439" s="77">
        <v>-149.62402800000001</v>
      </c>
      <c r="F439" s="77">
        <v>701</v>
      </c>
      <c r="G439" s="77" t="s">
        <v>468</v>
      </c>
      <c r="H439" s="77" t="s">
        <v>451</v>
      </c>
      <c r="I439" s="77" t="s">
        <v>451</v>
      </c>
      <c r="J439" s="77" t="s">
        <v>1214</v>
      </c>
      <c r="K439" s="77" t="s">
        <v>451</v>
      </c>
      <c r="L439" s="77" t="s">
        <v>815</v>
      </c>
      <c r="M439" s="62" t="str">
        <f t="shared" si="6"/>
        <v>View on Google Map</v>
      </c>
    </row>
    <row r="440" spans="1:13">
      <c r="A440" s="77">
        <v>495</v>
      </c>
      <c r="B440" s="77" t="s">
        <v>1269</v>
      </c>
      <c r="C440" s="77" t="s">
        <v>451</v>
      </c>
      <c r="D440" s="77">
        <v>68.674121999999997</v>
      </c>
      <c r="E440" s="77">
        <v>-149.62885</v>
      </c>
      <c r="F440" s="77">
        <v>701</v>
      </c>
      <c r="G440" s="77" t="s">
        <v>468</v>
      </c>
      <c r="H440" s="77" t="s">
        <v>451</v>
      </c>
      <c r="I440" s="77" t="s">
        <v>451</v>
      </c>
      <c r="J440" s="77" t="s">
        <v>1214</v>
      </c>
      <c r="K440" s="77" t="s">
        <v>451</v>
      </c>
      <c r="L440" s="77" t="s">
        <v>815</v>
      </c>
      <c r="M440" s="62" t="str">
        <f t="shared" si="6"/>
        <v>View on Google Map</v>
      </c>
    </row>
    <row r="441" spans="1:13">
      <c r="A441" s="77">
        <v>448</v>
      </c>
      <c r="B441" s="77" t="s">
        <v>1270</v>
      </c>
      <c r="C441" s="77" t="s">
        <v>451</v>
      </c>
      <c r="D441" s="77" t="s">
        <v>451</v>
      </c>
      <c r="E441" s="77" t="s">
        <v>451</v>
      </c>
      <c r="F441" s="77" t="s">
        <v>451</v>
      </c>
      <c r="G441" s="77" t="s">
        <v>460</v>
      </c>
      <c r="H441" s="77" t="s">
        <v>1271</v>
      </c>
      <c r="I441" s="77" t="s">
        <v>451</v>
      </c>
      <c r="J441" s="77" t="s">
        <v>469</v>
      </c>
      <c r="K441" s="77" t="s">
        <v>451</v>
      </c>
      <c r="L441" s="77" t="s">
        <v>451</v>
      </c>
      <c r="M441" s="62" t="str">
        <f t="shared" si="6"/>
        <v>View on Google Map</v>
      </c>
    </row>
    <row r="442" spans="1:13">
      <c r="A442" s="77">
        <v>449</v>
      </c>
      <c r="B442" s="77" t="s">
        <v>1272</v>
      </c>
      <c r="C442" s="77" t="s">
        <v>451</v>
      </c>
      <c r="D442" s="77" t="s">
        <v>451</v>
      </c>
      <c r="E442" s="77" t="s">
        <v>451</v>
      </c>
      <c r="F442" s="77" t="s">
        <v>451</v>
      </c>
      <c r="G442" s="77" t="s">
        <v>460</v>
      </c>
      <c r="H442" s="77" t="s">
        <v>1273</v>
      </c>
      <c r="I442" s="77" t="s">
        <v>451</v>
      </c>
      <c r="J442" s="77" t="s">
        <v>469</v>
      </c>
      <c r="K442" s="77" t="s">
        <v>451</v>
      </c>
      <c r="L442" s="77" t="s">
        <v>451</v>
      </c>
      <c r="M442" s="62" t="str">
        <f t="shared" si="6"/>
        <v>View on Google Map</v>
      </c>
    </row>
    <row r="443" spans="1:13">
      <c r="A443" s="77">
        <v>171</v>
      </c>
      <c r="B443" s="77" t="s">
        <v>1274</v>
      </c>
      <c r="C443" s="77" t="s">
        <v>451</v>
      </c>
      <c r="D443" s="77">
        <v>68.652645483100002</v>
      </c>
      <c r="E443" s="77">
        <v>-149.59947366200001</v>
      </c>
      <c r="F443" s="77">
        <v>747</v>
      </c>
      <c r="G443" s="77" t="s">
        <v>460</v>
      </c>
      <c r="H443" s="77" t="s">
        <v>1275</v>
      </c>
      <c r="I443" s="77" t="s">
        <v>1276</v>
      </c>
      <c r="J443" s="77" t="s">
        <v>469</v>
      </c>
      <c r="K443" s="77" t="s">
        <v>451</v>
      </c>
      <c r="L443" s="77" t="s">
        <v>451</v>
      </c>
      <c r="M443" s="62" t="str">
        <f t="shared" si="6"/>
        <v>View on Google Map</v>
      </c>
    </row>
    <row r="444" spans="1:13">
      <c r="A444" s="77">
        <v>499</v>
      </c>
      <c r="B444" s="77" t="s">
        <v>1277</v>
      </c>
      <c r="C444" s="77" t="s">
        <v>451</v>
      </c>
      <c r="D444" s="77">
        <v>68.829610000000002</v>
      </c>
      <c r="E444" s="77">
        <v>-149.77901</v>
      </c>
      <c r="F444" s="77">
        <v>633</v>
      </c>
      <c r="G444" s="77" t="s">
        <v>460</v>
      </c>
      <c r="H444" s="77" t="s">
        <v>1278</v>
      </c>
      <c r="I444" s="77" t="s">
        <v>1279</v>
      </c>
      <c r="J444" s="77" t="s">
        <v>461</v>
      </c>
      <c r="K444" s="77" t="s">
        <v>451</v>
      </c>
      <c r="L444" s="77" t="s">
        <v>451</v>
      </c>
      <c r="M444" s="62" t="str">
        <f t="shared" si="6"/>
        <v>View on Google Map</v>
      </c>
    </row>
    <row r="445" spans="1:13">
      <c r="A445" s="77">
        <v>500</v>
      </c>
      <c r="B445" s="77" t="s">
        <v>1280</v>
      </c>
      <c r="C445" s="77" t="s">
        <v>451</v>
      </c>
      <c r="D445" s="77">
        <v>68.832999999999998</v>
      </c>
      <c r="E445" s="77">
        <v>-149.76808</v>
      </c>
      <c r="F445" s="77">
        <v>624</v>
      </c>
      <c r="G445" s="77" t="s">
        <v>460</v>
      </c>
      <c r="H445" s="77" t="s">
        <v>1281</v>
      </c>
      <c r="I445" s="77" t="s">
        <v>1282</v>
      </c>
      <c r="J445" s="77" t="s">
        <v>461</v>
      </c>
      <c r="K445" s="77" t="s">
        <v>451</v>
      </c>
      <c r="L445" s="77" t="s">
        <v>451</v>
      </c>
      <c r="M445" s="62" t="str">
        <f t="shared" si="6"/>
        <v>View on Google Map</v>
      </c>
    </row>
    <row r="446" spans="1:13">
      <c r="A446" s="77">
        <v>501</v>
      </c>
      <c r="B446" s="77" t="s">
        <v>1283</v>
      </c>
      <c r="C446" s="77" t="s">
        <v>451</v>
      </c>
      <c r="D446" s="77">
        <v>68.828299999999999</v>
      </c>
      <c r="E446" s="77">
        <v>-149.76473999999999</v>
      </c>
      <c r="F446" s="77">
        <v>624</v>
      </c>
      <c r="G446" s="77" t="s">
        <v>460</v>
      </c>
      <c r="H446" s="77" t="s">
        <v>1284</v>
      </c>
      <c r="I446" s="77" t="s">
        <v>1285</v>
      </c>
      <c r="J446" s="77" t="s">
        <v>461</v>
      </c>
      <c r="K446" s="77" t="s">
        <v>451</v>
      </c>
      <c r="L446" s="77" t="s">
        <v>451</v>
      </c>
      <c r="M446" s="62" t="str">
        <f t="shared" si="6"/>
        <v>View on Google Map</v>
      </c>
    </row>
    <row r="447" spans="1:13">
      <c r="A447" s="77">
        <v>502</v>
      </c>
      <c r="B447" s="77" t="s">
        <v>1286</v>
      </c>
      <c r="C447" s="77" t="s">
        <v>451</v>
      </c>
      <c r="D447" s="77">
        <v>68.826520000000002</v>
      </c>
      <c r="E447" s="77">
        <v>-149.75897000000001</v>
      </c>
      <c r="F447" s="77">
        <v>592</v>
      </c>
      <c r="G447" s="77" t="s">
        <v>460</v>
      </c>
      <c r="H447" s="77" t="s">
        <v>1287</v>
      </c>
      <c r="I447" s="77" t="s">
        <v>1288</v>
      </c>
      <c r="J447" s="77" t="s">
        <v>461</v>
      </c>
      <c r="K447" s="77" t="s">
        <v>451</v>
      </c>
      <c r="L447" s="77" t="s">
        <v>451</v>
      </c>
      <c r="M447" s="62" t="str">
        <f t="shared" si="6"/>
        <v>View on Google Map</v>
      </c>
    </row>
    <row r="448" spans="1:13">
      <c r="A448" s="77">
        <v>503</v>
      </c>
      <c r="B448" s="77" t="s">
        <v>1289</v>
      </c>
      <c r="C448" s="77" t="s">
        <v>451</v>
      </c>
      <c r="D448" s="77">
        <v>68.827259999999995</v>
      </c>
      <c r="E448" s="77">
        <v>-149.75089</v>
      </c>
      <c r="F448" s="77">
        <v>592</v>
      </c>
      <c r="G448" s="77" t="s">
        <v>460</v>
      </c>
      <c r="H448" s="77" t="s">
        <v>1290</v>
      </c>
      <c r="I448" s="77" t="s">
        <v>1291</v>
      </c>
      <c r="J448" s="77" t="s">
        <v>461</v>
      </c>
      <c r="K448" s="77" t="s">
        <v>451</v>
      </c>
      <c r="L448" s="77" t="s">
        <v>451</v>
      </c>
      <c r="M448" s="62" t="str">
        <f t="shared" si="6"/>
        <v>View on Google Map</v>
      </c>
    </row>
    <row r="449" spans="1:13">
      <c r="A449" s="77">
        <v>488</v>
      </c>
      <c r="B449" s="77" t="s">
        <v>1292</v>
      </c>
      <c r="C449" s="77" t="s">
        <v>451</v>
      </c>
      <c r="D449" s="77">
        <v>69.329949999999997</v>
      </c>
      <c r="E449" s="77">
        <v>-150.95275000000001</v>
      </c>
      <c r="F449" s="77">
        <v>127</v>
      </c>
      <c r="G449" s="77" t="s">
        <v>460</v>
      </c>
      <c r="H449" s="77" t="s">
        <v>451</v>
      </c>
      <c r="I449" s="77" t="s">
        <v>451</v>
      </c>
      <c r="J449" s="77" t="s">
        <v>504</v>
      </c>
      <c r="K449" s="77" t="s">
        <v>451</v>
      </c>
      <c r="L449" s="77" t="s">
        <v>457</v>
      </c>
      <c r="M449" s="62" t="str">
        <f t="shared" si="6"/>
        <v>View on Google Map</v>
      </c>
    </row>
    <row r="450" spans="1:13">
      <c r="A450" s="77">
        <v>489</v>
      </c>
      <c r="B450" s="77" t="s">
        <v>1293</v>
      </c>
      <c r="C450" s="77" t="s">
        <v>451</v>
      </c>
      <c r="D450" s="77" t="s">
        <v>451</v>
      </c>
      <c r="E450" s="77" t="s">
        <v>451</v>
      </c>
      <c r="F450" s="77">
        <v>127</v>
      </c>
      <c r="G450" s="77" t="s">
        <v>468</v>
      </c>
      <c r="H450" s="77" t="s">
        <v>451</v>
      </c>
      <c r="I450" s="77" t="s">
        <v>451</v>
      </c>
      <c r="J450" s="77" t="s">
        <v>504</v>
      </c>
      <c r="K450" s="77" t="s">
        <v>451</v>
      </c>
      <c r="L450" s="77" t="s">
        <v>457</v>
      </c>
      <c r="M450" s="62" t="str">
        <f t="shared" si="6"/>
        <v>View on Google Map</v>
      </c>
    </row>
    <row r="451" spans="1:13">
      <c r="A451" s="77">
        <v>490</v>
      </c>
      <c r="B451" s="77" t="s">
        <v>1294</v>
      </c>
      <c r="C451" s="77" t="s">
        <v>451</v>
      </c>
      <c r="D451" s="77" t="s">
        <v>451</v>
      </c>
      <c r="E451" s="77" t="s">
        <v>451</v>
      </c>
      <c r="F451" s="77">
        <v>127</v>
      </c>
      <c r="G451" s="77" t="s">
        <v>460</v>
      </c>
      <c r="H451" s="77" t="s">
        <v>451</v>
      </c>
      <c r="I451" s="77" t="s">
        <v>451</v>
      </c>
      <c r="J451" s="77" t="s">
        <v>504</v>
      </c>
      <c r="K451" s="77" t="s">
        <v>451</v>
      </c>
      <c r="L451" s="77" t="s">
        <v>457</v>
      </c>
      <c r="M451" s="62" t="str">
        <f t="shared" ref="M451:M514" si="7">HYPERLINK("http://maps.google.com/maps?q="&amp;D451&amp;","&amp;E451,"View on Google Map")</f>
        <v>View on Google Map</v>
      </c>
    </row>
    <row r="452" spans="1:13">
      <c r="A452" s="77">
        <v>34</v>
      </c>
      <c r="B452" s="77" t="s">
        <v>1295</v>
      </c>
      <c r="C452" s="77" t="s">
        <v>451</v>
      </c>
      <c r="D452" s="77">
        <v>69.057400000000001</v>
      </c>
      <c r="E452" s="77">
        <v>-150.39599999999999</v>
      </c>
      <c r="F452" s="77">
        <v>274</v>
      </c>
      <c r="G452" s="77" t="s">
        <v>468</v>
      </c>
      <c r="H452" s="77" t="s">
        <v>451</v>
      </c>
      <c r="I452" s="77" t="s">
        <v>451</v>
      </c>
      <c r="J452" s="77" t="s">
        <v>504</v>
      </c>
      <c r="K452" s="77" t="s">
        <v>451</v>
      </c>
      <c r="L452" s="77" t="s">
        <v>457</v>
      </c>
      <c r="M452" s="62" t="str">
        <f t="shared" si="7"/>
        <v>View on Google Map</v>
      </c>
    </row>
    <row r="453" spans="1:13">
      <c r="A453" s="77">
        <v>45</v>
      </c>
      <c r="B453" s="77" t="s">
        <v>1296</v>
      </c>
      <c r="C453" s="77" t="s">
        <v>451</v>
      </c>
      <c r="D453" s="77">
        <v>69.063298000000003</v>
      </c>
      <c r="E453" s="77">
        <v>-150.394711</v>
      </c>
      <c r="F453" s="77" t="s">
        <v>451</v>
      </c>
      <c r="G453" s="77" t="s">
        <v>468</v>
      </c>
      <c r="H453" s="77" t="s">
        <v>451</v>
      </c>
      <c r="I453" s="77" t="s">
        <v>451</v>
      </c>
      <c r="J453" s="77" t="s">
        <v>1297</v>
      </c>
      <c r="K453" s="77" t="s">
        <v>451</v>
      </c>
      <c r="L453" s="77" t="s">
        <v>457</v>
      </c>
      <c r="M453" s="62" t="str">
        <f t="shared" si="7"/>
        <v>View on Google Map</v>
      </c>
    </row>
    <row r="454" spans="1:13">
      <c r="A454" s="77">
        <v>35</v>
      </c>
      <c r="B454" s="77" t="s">
        <v>1298</v>
      </c>
      <c r="C454" s="77" t="s">
        <v>451</v>
      </c>
      <c r="D454" s="77">
        <v>69.063333333333333</v>
      </c>
      <c r="E454" s="77">
        <v>-150.39333333333335</v>
      </c>
      <c r="F454" s="77">
        <v>281</v>
      </c>
      <c r="G454" s="77" t="s">
        <v>468</v>
      </c>
      <c r="H454" s="77" t="s">
        <v>451</v>
      </c>
      <c r="I454" s="77" t="s">
        <v>451</v>
      </c>
      <c r="J454" s="77" t="s">
        <v>504</v>
      </c>
      <c r="K454" s="77" t="s">
        <v>451</v>
      </c>
      <c r="L454" s="77" t="s">
        <v>457</v>
      </c>
      <c r="M454" s="62" t="str">
        <f t="shared" si="7"/>
        <v>View on Google Map</v>
      </c>
    </row>
    <row r="455" spans="1:13">
      <c r="A455" s="77">
        <v>161</v>
      </c>
      <c r="B455" s="77" t="s">
        <v>1299</v>
      </c>
      <c r="C455" s="77" t="s">
        <v>1300</v>
      </c>
      <c r="D455" s="77">
        <v>68.599999999999994</v>
      </c>
      <c r="E455" s="77">
        <v>-149.18333333333334</v>
      </c>
      <c r="F455" s="77">
        <v>876</v>
      </c>
      <c r="G455" s="77" t="s">
        <v>460</v>
      </c>
      <c r="H455" s="77" t="s">
        <v>1301</v>
      </c>
      <c r="I455" s="77" t="s">
        <v>451</v>
      </c>
      <c r="J455" s="77" t="s">
        <v>469</v>
      </c>
      <c r="K455" s="77" t="s">
        <v>451</v>
      </c>
      <c r="L455" s="77" t="s">
        <v>470</v>
      </c>
      <c r="M455" s="62" t="str">
        <f t="shared" si="7"/>
        <v>View on Google Map</v>
      </c>
    </row>
    <row r="456" spans="1:13">
      <c r="A456" s="77">
        <v>162</v>
      </c>
      <c r="B456" s="77" t="s">
        <v>1302</v>
      </c>
      <c r="C456" s="77" t="s">
        <v>1300</v>
      </c>
      <c r="D456" s="77">
        <v>68.583333333333329</v>
      </c>
      <c r="E456" s="77">
        <v>-149.19999999999999</v>
      </c>
      <c r="F456" s="77">
        <v>892</v>
      </c>
      <c r="G456" s="77" t="s">
        <v>460</v>
      </c>
      <c r="H456" s="77" t="s">
        <v>1303</v>
      </c>
      <c r="I456" s="77" t="s">
        <v>451</v>
      </c>
      <c r="J456" s="77" t="s">
        <v>469</v>
      </c>
      <c r="K456" s="77" t="s">
        <v>451</v>
      </c>
      <c r="L456" s="77" t="s">
        <v>470</v>
      </c>
      <c r="M456" s="62" t="str">
        <f t="shared" si="7"/>
        <v>View on Google Map</v>
      </c>
    </row>
    <row r="457" spans="1:13">
      <c r="A457" s="77">
        <v>163</v>
      </c>
      <c r="B457" s="77" t="s">
        <v>1304</v>
      </c>
      <c r="C457" s="77" t="s">
        <v>1300</v>
      </c>
      <c r="D457" s="77">
        <v>68.599999999999994</v>
      </c>
      <c r="E457" s="77">
        <v>-149.16666666666666</v>
      </c>
      <c r="F457" s="77">
        <v>876</v>
      </c>
      <c r="G457" s="77" t="s">
        <v>460</v>
      </c>
      <c r="H457" s="77" t="s">
        <v>1305</v>
      </c>
      <c r="I457" s="77" t="s">
        <v>451</v>
      </c>
      <c r="J457" s="77" t="s">
        <v>469</v>
      </c>
      <c r="K457" s="77" t="s">
        <v>451</v>
      </c>
      <c r="L457" s="77" t="s">
        <v>470</v>
      </c>
      <c r="M457" s="62" t="str">
        <f t="shared" si="7"/>
        <v>View on Google Map</v>
      </c>
    </row>
    <row r="458" spans="1:13">
      <c r="A458" s="77">
        <v>5</v>
      </c>
      <c r="B458" s="77" t="s">
        <v>1306</v>
      </c>
      <c r="C458" s="77" t="s">
        <v>467</v>
      </c>
      <c r="D458" s="77">
        <v>68.687399999999997</v>
      </c>
      <c r="E458" s="77">
        <v>-149.095</v>
      </c>
      <c r="F458" s="77">
        <v>754</v>
      </c>
      <c r="G458" s="77" t="s">
        <v>468</v>
      </c>
      <c r="H458" s="77" t="s">
        <v>1307</v>
      </c>
      <c r="I458" s="77" t="s">
        <v>1308</v>
      </c>
      <c r="J458" s="77" t="s">
        <v>469</v>
      </c>
      <c r="K458" s="77" t="s">
        <v>451</v>
      </c>
      <c r="L458" s="77" t="s">
        <v>470</v>
      </c>
      <c r="M458" s="62" t="str">
        <f t="shared" si="7"/>
        <v>View on Google Map</v>
      </c>
    </row>
    <row r="459" spans="1:13">
      <c r="A459" s="77">
        <v>491</v>
      </c>
      <c r="B459" s="77" t="s">
        <v>1309</v>
      </c>
      <c r="C459" s="77" t="s">
        <v>451</v>
      </c>
      <c r="D459" s="77">
        <v>68.941266666999994</v>
      </c>
      <c r="E459" s="77">
        <v>-150.5068</v>
      </c>
      <c r="F459" s="77">
        <v>408</v>
      </c>
      <c r="G459" s="77" t="s">
        <v>460</v>
      </c>
      <c r="H459" s="77" t="s">
        <v>1310</v>
      </c>
      <c r="I459" s="77" t="s">
        <v>451</v>
      </c>
      <c r="J459" s="77" t="s">
        <v>504</v>
      </c>
      <c r="K459" s="77" t="s">
        <v>451</v>
      </c>
      <c r="L459" s="77" t="s">
        <v>457</v>
      </c>
      <c r="M459" s="62" t="str">
        <f t="shared" si="7"/>
        <v>View on Google Map</v>
      </c>
    </row>
    <row r="460" spans="1:13">
      <c r="A460" s="77">
        <v>492</v>
      </c>
      <c r="B460" s="77" t="s">
        <v>1311</v>
      </c>
      <c r="C460" s="77" t="s">
        <v>451</v>
      </c>
      <c r="D460" s="77" t="s">
        <v>451</v>
      </c>
      <c r="E460" s="77" t="s">
        <v>451</v>
      </c>
      <c r="F460" s="77">
        <v>408</v>
      </c>
      <c r="G460" s="77" t="s">
        <v>460</v>
      </c>
      <c r="H460" s="77" t="s">
        <v>1312</v>
      </c>
      <c r="I460" s="77" t="s">
        <v>451</v>
      </c>
      <c r="J460" s="77" t="s">
        <v>504</v>
      </c>
      <c r="K460" s="77" t="s">
        <v>451</v>
      </c>
      <c r="L460" s="77" t="s">
        <v>457</v>
      </c>
      <c r="M460" s="62" t="str">
        <f t="shared" si="7"/>
        <v>View on Google Map</v>
      </c>
    </row>
    <row r="461" spans="1:13">
      <c r="A461" s="77">
        <v>1172</v>
      </c>
      <c r="B461" s="77" t="s">
        <v>1313</v>
      </c>
      <c r="C461" s="77" t="s">
        <v>451</v>
      </c>
      <c r="D461" s="77">
        <v>68.99666666666667</v>
      </c>
      <c r="E461" s="77">
        <v>-150.21249999999998</v>
      </c>
      <c r="F461" s="77" t="s">
        <v>451</v>
      </c>
      <c r="G461" s="77" t="s">
        <v>452</v>
      </c>
      <c r="H461" s="77" t="s">
        <v>1314</v>
      </c>
      <c r="I461" s="77" t="s">
        <v>451</v>
      </c>
      <c r="J461" s="77" t="s">
        <v>456</v>
      </c>
      <c r="K461" s="77" t="s">
        <v>451</v>
      </c>
      <c r="L461" s="77" t="s">
        <v>457</v>
      </c>
      <c r="M461" s="62" t="str">
        <f t="shared" si="7"/>
        <v>View on Google Map</v>
      </c>
    </row>
    <row r="462" spans="1:13">
      <c r="A462" s="77">
        <v>493</v>
      </c>
      <c r="B462" s="77" t="s">
        <v>1315</v>
      </c>
      <c r="C462" s="77" t="s">
        <v>451</v>
      </c>
      <c r="D462" s="77">
        <v>68.974933332999996</v>
      </c>
      <c r="E462" s="77">
        <v>-150.221066667</v>
      </c>
      <c r="F462" s="77">
        <v>364</v>
      </c>
      <c r="G462" s="77" t="s">
        <v>460</v>
      </c>
      <c r="H462" s="77" t="s">
        <v>451</v>
      </c>
      <c r="I462" s="77" t="s">
        <v>451</v>
      </c>
      <c r="J462" s="77" t="s">
        <v>504</v>
      </c>
      <c r="K462" s="77" t="s">
        <v>451</v>
      </c>
      <c r="L462" s="77" t="s">
        <v>457</v>
      </c>
      <c r="M462" s="62" t="str">
        <f t="shared" si="7"/>
        <v>View on Google Map</v>
      </c>
    </row>
    <row r="463" spans="1:13">
      <c r="A463" s="77">
        <v>405</v>
      </c>
      <c r="B463" s="77" t="s">
        <v>1316</v>
      </c>
      <c r="C463" s="77" t="s">
        <v>451</v>
      </c>
      <c r="D463" s="77" t="s">
        <v>451</v>
      </c>
      <c r="E463" s="77" t="s">
        <v>451</v>
      </c>
      <c r="F463" s="77" t="s">
        <v>451</v>
      </c>
      <c r="G463" s="77" t="s">
        <v>460</v>
      </c>
      <c r="H463" s="77" t="s">
        <v>451</v>
      </c>
      <c r="I463" s="77" t="s">
        <v>451</v>
      </c>
      <c r="J463" s="77" t="s">
        <v>469</v>
      </c>
      <c r="K463" s="77" t="s">
        <v>451</v>
      </c>
      <c r="L463" s="77" t="s">
        <v>625</v>
      </c>
      <c r="M463" s="62" t="str">
        <f t="shared" si="7"/>
        <v>View on Google Map</v>
      </c>
    </row>
    <row r="464" spans="1:13">
      <c r="A464" s="77">
        <v>505</v>
      </c>
      <c r="B464" s="77" t="s">
        <v>1317</v>
      </c>
      <c r="C464" s="77" t="s">
        <v>451</v>
      </c>
      <c r="D464" s="77">
        <v>68.921059</v>
      </c>
      <c r="E464" s="77">
        <v>-150.34784300000001</v>
      </c>
      <c r="F464" s="77" t="s">
        <v>451</v>
      </c>
      <c r="G464" s="77" t="s">
        <v>460</v>
      </c>
      <c r="H464" s="77" t="s">
        <v>451</v>
      </c>
      <c r="I464" s="77" t="s">
        <v>451</v>
      </c>
      <c r="J464" s="77" t="s">
        <v>504</v>
      </c>
      <c r="K464" s="77" t="s">
        <v>451</v>
      </c>
      <c r="L464" s="77" t="s">
        <v>457</v>
      </c>
      <c r="M464" s="62" t="str">
        <f t="shared" si="7"/>
        <v>View on Google Map</v>
      </c>
    </row>
    <row r="465" spans="1:13">
      <c r="A465" s="77">
        <v>506</v>
      </c>
      <c r="B465" s="77" t="s">
        <v>1318</v>
      </c>
      <c r="C465" s="77" t="s">
        <v>451</v>
      </c>
      <c r="D465" s="77">
        <v>68.921186000000006</v>
      </c>
      <c r="E465" s="77">
        <v>-150.37015</v>
      </c>
      <c r="F465" s="77" t="s">
        <v>451</v>
      </c>
      <c r="G465" s="77" t="s">
        <v>460</v>
      </c>
      <c r="H465" s="77" t="s">
        <v>451</v>
      </c>
      <c r="I465" s="77" t="s">
        <v>451</v>
      </c>
      <c r="J465" s="77" t="s">
        <v>504</v>
      </c>
      <c r="K465" s="77" t="s">
        <v>451</v>
      </c>
      <c r="L465" s="77" t="s">
        <v>457</v>
      </c>
      <c r="M465" s="62" t="str">
        <f t="shared" si="7"/>
        <v>View on Google Map</v>
      </c>
    </row>
    <row r="466" spans="1:13">
      <c r="A466" s="77">
        <v>507</v>
      </c>
      <c r="B466" s="77" t="s">
        <v>1319</v>
      </c>
      <c r="C466" s="77" t="s">
        <v>451</v>
      </c>
      <c r="D466" s="77">
        <v>68.936953000000003</v>
      </c>
      <c r="E466" s="77">
        <v>-150.35309699999999</v>
      </c>
      <c r="F466" s="77" t="s">
        <v>451</v>
      </c>
      <c r="G466" s="77" t="s">
        <v>460</v>
      </c>
      <c r="H466" s="77" t="s">
        <v>451</v>
      </c>
      <c r="I466" s="77" t="s">
        <v>451</v>
      </c>
      <c r="J466" s="77" t="s">
        <v>504</v>
      </c>
      <c r="K466" s="77" t="s">
        <v>451</v>
      </c>
      <c r="L466" s="77" t="s">
        <v>457</v>
      </c>
      <c r="M466" s="62" t="str">
        <f t="shared" si="7"/>
        <v>View on Google Map</v>
      </c>
    </row>
    <row r="467" spans="1:13">
      <c r="A467" s="77">
        <v>12</v>
      </c>
      <c r="B467" s="77" t="s">
        <v>1320</v>
      </c>
      <c r="C467" s="77" t="s">
        <v>451</v>
      </c>
      <c r="D467" s="77" t="s">
        <v>451</v>
      </c>
      <c r="E467" s="77" t="s">
        <v>451</v>
      </c>
      <c r="F467" s="77" t="s">
        <v>451</v>
      </c>
      <c r="G467" s="77" t="s">
        <v>468</v>
      </c>
      <c r="H467" s="77" t="s">
        <v>451</v>
      </c>
      <c r="I467" s="77" t="s">
        <v>451</v>
      </c>
      <c r="J467" s="77" t="s">
        <v>469</v>
      </c>
      <c r="K467" s="77" t="s">
        <v>451</v>
      </c>
      <c r="L467" s="77" t="s">
        <v>451</v>
      </c>
      <c r="M467" s="62" t="str">
        <f t="shared" si="7"/>
        <v>View on Google Map</v>
      </c>
    </row>
    <row r="468" spans="1:13">
      <c r="A468" s="77">
        <v>4</v>
      </c>
      <c r="B468" s="77" t="s">
        <v>1321</v>
      </c>
      <c r="C468" s="77" t="s">
        <v>467</v>
      </c>
      <c r="D468" s="77">
        <v>68.38333333333334</v>
      </c>
      <c r="E468" s="77">
        <v>-149.31666666666666</v>
      </c>
      <c r="F468" s="77">
        <v>869</v>
      </c>
      <c r="G468" s="77" t="s">
        <v>468</v>
      </c>
      <c r="H468" s="77" t="s">
        <v>1322</v>
      </c>
      <c r="I468" s="77" t="s">
        <v>1323</v>
      </c>
      <c r="J468" s="77" t="s">
        <v>469</v>
      </c>
      <c r="K468" s="77" t="s">
        <v>451</v>
      </c>
      <c r="L468" s="77" t="s">
        <v>470</v>
      </c>
      <c r="M468" s="62" t="str">
        <f t="shared" si="7"/>
        <v>View on Google Map</v>
      </c>
    </row>
    <row r="469" spans="1:13">
      <c r="A469" s="77">
        <v>148</v>
      </c>
      <c r="B469" s="77" t="s">
        <v>1324</v>
      </c>
      <c r="C469" s="77" t="s">
        <v>451</v>
      </c>
      <c r="D469" s="77">
        <v>68.624535966600007</v>
      </c>
      <c r="E469" s="77">
        <v>-149.60216609099999</v>
      </c>
      <c r="F469" s="77">
        <v>720</v>
      </c>
      <c r="G469" s="77" t="s">
        <v>460</v>
      </c>
      <c r="H469" s="77" t="s">
        <v>451</v>
      </c>
      <c r="I469" s="77" t="s">
        <v>451</v>
      </c>
      <c r="J469" s="77" t="s">
        <v>469</v>
      </c>
      <c r="K469" s="77" t="s">
        <v>451</v>
      </c>
      <c r="L469" s="77" t="s">
        <v>451</v>
      </c>
      <c r="M469" s="62" t="str">
        <f t="shared" si="7"/>
        <v>View on Google Map</v>
      </c>
    </row>
    <row r="470" spans="1:13">
      <c r="A470" s="77">
        <v>241</v>
      </c>
      <c r="B470" s="77" t="s">
        <v>1324</v>
      </c>
      <c r="C470" s="77" t="s">
        <v>451</v>
      </c>
      <c r="D470" s="77">
        <v>68.624535966600007</v>
      </c>
      <c r="E470" s="77">
        <v>-149.60216609099999</v>
      </c>
      <c r="F470" s="77" t="s">
        <v>451</v>
      </c>
      <c r="G470" s="77" t="s">
        <v>460</v>
      </c>
      <c r="H470" s="77" t="s">
        <v>451</v>
      </c>
      <c r="I470" s="77" t="s">
        <v>451</v>
      </c>
      <c r="J470" s="77" t="s">
        <v>469</v>
      </c>
      <c r="K470" s="77" t="s">
        <v>451</v>
      </c>
      <c r="L470" s="77" t="s">
        <v>451</v>
      </c>
      <c r="M470" s="62" t="str">
        <f t="shared" si="7"/>
        <v>View on Google Map</v>
      </c>
    </row>
    <row r="471" spans="1:13">
      <c r="A471" s="77">
        <v>149</v>
      </c>
      <c r="B471" s="77" t="s">
        <v>1325</v>
      </c>
      <c r="C471" s="77" t="s">
        <v>451</v>
      </c>
      <c r="D471" s="77">
        <v>68.627169078600005</v>
      </c>
      <c r="E471" s="77">
        <v>-149.61135296200001</v>
      </c>
      <c r="F471" s="77">
        <v>720</v>
      </c>
      <c r="G471" s="77" t="s">
        <v>460</v>
      </c>
      <c r="H471" s="77" t="s">
        <v>451</v>
      </c>
      <c r="I471" s="77" t="s">
        <v>451</v>
      </c>
      <c r="J471" s="77" t="s">
        <v>469</v>
      </c>
      <c r="K471" s="77" t="s">
        <v>451</v>
      </c>
      <c r="L471" s="77" t="s">
        <v>451</v>
      </c>
      <c r="M471" s="62" t="str">
        <f t="shared" si="7"/>
        <v>View on Google Map</v>
      </c>
    </row>
    <row r="472" spans="1:13">
      <c r="A472" s="77">
        <v>150</v>
      </c>
      <c r="B472" s="77" t="s">
        <v>1326</v>
      </c>
      <c r="C472" s="77" t="s">
        <v>451</v>
      </c>
      <c r="D472" s="77">
        <v>68.628818623300006</v>
      </c>
      <c r="E472" s="77">
        <v>-149.62482197599999</v>
      </c>
      <c r="F472" s="77">
        <v>720</v>
      </c>
      <c r="G472" s="77" t="s">
        <v>460</v>
      </c>
      <c r="H472" s="77" t="s">
        <v>451</v>
      </c>
      <c r="I472" s="77" t="s">
        <v>451</v>
      </c>
      <c r="J472" s="77" t="s">
        <v>469</v>
      </c>
      <c r="K472" s="77" t="s">
        <v>451</v>
      </c>
      <c r="L472" s="77" t="s">
        <v>451</v>
      </c>
      <c r="M472" s="62" t="str">
        <f t="shared" si="7"/>
        <v>View on Google Map</v>
      </c>
    </row>
    <row r="473" spans="1:13">
      <c r="A473" s="77">
        <v>151</v>
      </c>
      <c r="B473" s="77" t="s">
        <v>1327</v>
      </c>
      <c r="C473" s="77" t="s">
        <v>451</v>
      </c>
      <c r="D473" s="77">
        <v>68.630949932700005</v>
      </c>
      <c r="E473" s="77">
        <v>-149.62993150400001</v>
      </c>
      <c r="F473" s="77" t="s">
        <v>451</v>
      </c>
      <c r="G473" s="77" t="s">
        <v>460</v>
      </c>
      <c r="H473" s="77" t="s">
        <v>451</v>
      </c>
      <c r="I473" s="77" t="s">
        <v>451</v>
      </c>
      <c r="J473" s="77" t="s">
        <v>469</v>
      </c>
      <c r="K473" s="77" t="s">
        <v>451</v>
      </c>
      <c r="L473" s="77" t="s">
        <v>451</v>
      </c>
      <c r="M473" s="62" t="str">
        <f t="shared" si="7"/>
        <v>View on Google Map</v>
      </c>
    </row>
    <row r="474" spans="1:13">
      <c r="A474" s="77">
        <v>106</v>
      </c>
      <c r="B474" s="77" t="s">
        <v>1328</v>
      </c>
      <c r="C474" s="77" t="s">
        <v>451</v>
      </c>
      <c r="D474" s="77">
        <v>68.631431924799998</v>
      </c>
      <c r="E474" s="77">
        <v>-149.63669249099999</v>
      </c>
      <c r="F474" s="77">
        <v>725</v>
      </c>
      <c r="G474" s="77" t="s">
        <v>460</v>
      </c>
      <c r="H474" s="77" t="s">
        <v>1329</v>
      </c>
      <c r="I474" s="77" t="s">
        <v>451</v>
      </c>
      <c r="J474" s="77" t="s">
        <v>469</v>
      </c>
      <c r="K474" s="77" t="s">
        <v>451</v>
      </c>
      <c r="L474" s="77" t="s">
        <v>451</v>
      </c>
      <c r="M474" s="62" t="str">
        <f t="shared" si="7"/>
        <v>View on Google Map</v>
      </c>
    </row>
    <row r="475" spans="1:13">
      <c r="A475" s="77">
        <v>107</v>
      </c>
      <c r="B475" s="77" t="s">
        <v>1330</v>
      </c>
      <c r="C475" s="77" t="s">
        <v>451</v>
      </c>
      <c r="D475" s="77">
        <v>68.629379781599994</v>
      </c>
      <c r="E475" s="77">
        <v>-149.64162329499999</v>
      </c>
      <c r="F475" s="77">
        <v>731</v>
      </c>
      <c r="G475" s="77" t="s">
        <v>460</v>
      </c>
      <c r="H475" s="77" t="s">
        <v>1331</v>
      </c>
      <c r="I475" s="77" t="s">
        <v>451</v>
      </c>
      <c r="J475" s="77" t="s">
        <v>469</v>
      </c>
      <c r="K475" s="77" t="s">
        <v>451</v>
      </c>
      <c r="L475" s="77" t="s">
        <v>451</v>
      </c>
      <c r="M475" s="62" t="str">
        <f t="shared" si="7"/>
        <v>View on Google Map</v>
      </c>
    </row>
    <row r="476" spans="1:13">
      <c r="A476" s="77">
        <v>1603</v>
      </c>
      <c r="B476" s="77" t="s">
        <v>1332</v>
      </c>
      <c r="C476" s="77" t="s">
        <v>451</v>
      </c>
      <c r="D476" s="77" t="s">
        <v>451</v>
      </c>
      <c r="E476" s="77" t="s">
        <v>451</v>
      </c>
      <c r="F476" s="77" t="s">
        <v>451</v>
      </c>
      <c r="G476" s="77" t="s">
        <v>468</v>
      </c>
      <c r="H476" s="77" t="s">
        <v>1333</v>
      </c>
      <c r="I476" s="77" t="s">
        <v>1334</v>
      </c>
      <c r="J476" s="77" t="s">
        <v>469</v>
      </c>
      <c r="K476" s="77" t="s">
        <v>451</v>
      </c>
      <c r="L476" s="77" t="s">
        <v>451</v>
      </c>
      <c r="M476" s="62" t="str">
        <f t="shared" si="7"/>
        <v>View on Google Map</v>
      </c>
    </row>
    <row r="477" spans="1:13">
      <c r="A477" s="77">
        <v>152</v>
      </c>
      <c r="B477" s="77" t="s">
        <v>1335</v>
      </c>
      <c r="C477" s="77" t="s">
        <v>451</v>
      </c>
      <c r="D477" s="77">
        <v>68.630062744699998</v>
      </c>
      <c r="E477" s="77">
        <v>-149.64444178900001</v>
      </c>
      <c r="F477" s="77">
        <v>731</v>
      </c>
      <c r="G477" s="77" t="s">
        <v>460</v>
      </c>
      <c r="H477" s="77" t="s">
        <v>451</v>
      </c>
      <c r="I477" s="77" t="s">
        <v>451</v>
      </c>
      <c r="J477" s="77" t="s">
        <v>469</v>
      </c>
      <c r="K477" s="77" t="s">
        <v>451</v>
      </c>
      <c r="L477" s="77" t="s">
        <v>451</v>
      </c>
      <c r="M477" s="62" t="str">
        <f t="shared" si="7"/>
        <v>View on Google Map</v>
      </c>
    </row>
    <row r="478" spans="1:13">
      <c r="A478" s="77">
        <v>1601</v>
      </c>
      <c r="B478" s="77" t="s">
        <v>1336</v>
      </c>
      <c r="C478" s="77" t="s">
        <v>451</v>
      </c>
      <c r="D478" s="77" t="s">
        <v>451</v>
      </c>
      <c r="E478" s="77" t="s">
        <v>451</v>
      </c>
      <c r="F478" s="77" t="s">
        <v>451</v>
      </c>
      <c r="G478" s="77" t="s">
        <v>451</v>
      </c>
      <c r="H478" s="77" t="s">
        <v>1337</v>
      </c>
      <c r="I478" s="77" t="s">
        <v>1338</v>
      </c>
      <c r="J478" s="77" t="s">
        <v>451</v>
      </c>
      <c r="K478" s="77" t="s">
        <v>451</v>
      </c>
      <c r="L478" s="77" t="s">
        <v>451</v>
      </c>
      <c r="M478" s="62" t="str">
        <f t="shared" si="7"/>
        <v>View on Google Map</v>
      </c>
    </row>
    <row r="479" spans="1:13">
      <c r="A479" s="77">
        <v>1602</v>
      </c>
      <c r="B479" s="77" t="s">
        <v>1339</v>
      </c>
      <c r="C479" s="77" t="s">
        <v>451</v>
      </c>
      <c r="D479" s="77" t="s">
        <v>451</v>
      </c>
      <c r="E479" s="77" t="s">
        <v>451</v>
      </c>
      <c r="F479" s="77" t="s">
        <v>451</v>
      </c>
      <c r="G479" s="77" t="s">
        <v>451</v>
      </c>
      <c r="H479" s="77" t="s">
        <v>1340</v>
      </c>
      <c r="I479" s="77" t="s">
        <v>1341</v>
      </c>
      <c r="J479" s="77" t="s">
        <v>451</v>
      </c>
      <c r="K479" s="77" t="s">
        <v>451</v>
      </c>
      <c r="L479" s="77" t="s">
        <v>451</v>
      </c>
      <c r="M479" s="62" t="str">
        <f t="shared" si="7"/>
        <v>View on Google Map</v>
      </c>
    </row>
    <row r="480" spans="1:13">
      <c r="A480" s="77">
        <v>153</v>
      </c>
      <c r="B480" s="77" t="s">
        <v>1342</v>
      </c>
      <c r="C480" s="77" t="s">
        <v>451</v>
      </c>
      <c r="D480" s="77" t="s">
        <v>451</v>
      </c>
      <c r="E480" s="77" t="s">
        <v>451</v>
      </c>
      <c r="F480" s="77" t="s">
        <v>451</v>
      </c>
      <c r="G480" s="77" t="s">
        <v>460</v>
      </c>
      <c r="H480" s="77" t="s">
        <v>451</v>
      </c>
      <c r="I480" s="77" t="s">
        <v>451</v>
      </c>
      <c r="J480" s="77" t="s">
        <v>469</v>
      </c>
      <c r="K480" s="77" t="s">
        <v>451</v>
      </c>
      <c r="L480" s="77" t="s">
        <v>451</v>
      </c>
      <c r="M480" s="62" t="str">
        <f t="shared" si="7"/>
        <v>View on Google Map</v>
      </c>
    </row>
    <row r="481" spans="1:13">
      <c r="A481" s="77">
        <v>154</v>
      </c>
      <c r="B481" s="77" t="s">
        <v>1343</v>
      </c>
      <c r="C481" s="77" t="s">
        <v>451</v>
      </c>
      <c r="D481" s="77" t="s">
        <v>451</v>
      </c>
      <c r="E481" s="77" t="s">
        <v>451</v>
      </c>
      <c r="F481" s="77" t="s">
        <v>451</v>
      </c>
      <c r="G481" s="77" t="s">
        <v>460</v>
      </c>
      <c r="H481" s="77" t="s">
        <v>451</v>
      </c>
      <c r="I481" s="77" t="s">
        <v>451</v>
      </c>
      <c r="J481" s="77" t="s">
        <v>469</v>
      </c>
      <c r="K481" s="77" t="s">
        <v>451</v>
      </c>
      <c r="L481" s="77" t="s">
        <v>451</v>
      </c>
      <c r="M481" s="62" t="str">
        <f t="shared" si="7"/>
        <v>View on Google Map</v>
      </c>
    </row>
    <row r="482" spans="1:13">
      <c r="A482" s="77">
        <v>155</v>
      </c>
      <c r="B482" s="77" t="s">
        <v>1344</v>
      </c>
      <c r="C482" s="77" t="s">
        <v>451</v>
      </c>
      <c r="D482" s="77" t="s">
        <v>451</v>
      </c>
      <c r="E482" s="77" t="s">
        <v>451</v>
      </c>
      <c r="F482" s="77" t="s">
        <v>451</v>
      </c>
      <c r="G482" s="77" t="s">
        <v>460</v>
      </c>
      <c r="H482" s="77" t="s">
        <v>451</v>
      </c>
      <c r="I482" s="77" t="s">
        <v>451</v>
      </c>
      <c r="J482" s="77" t="s">
        <v>469</v>
      </c>
      <c r="K482" s="77" t="s">
        <v>451</v>
      </c>
      <c r="L482" s="77" t="s">
        <v>451</v>
      </c>
      <c r="M482" s="62" t="str">
        <f t="shared" si="7"/>
        <v>View on Google Map</v>
      </c>
    </row>
    <row r="483" spans="1:13">
      <c r="A483" s="77">
        <v>156</v>
      </c>
      <c r="B483" s="77" t="s">
        <v>1345</v>
      </c>
      <c r="C483" s="77" t="s">
        <v>451</v>
      </c>
      <c r="D483" s="77">
        <v>68.630148048999999</v>
      </c>
      <c r="E483" s="77">
        <v>-149.65057914499999</v>
      </c>
      <c r="F483" s="77">
        <v>750</v>
      </c>
      <c r="G483" s="77" t="s">
        <v>460</v>
      </c>
      <c r="H483" s="77" t="s">
        <v>451</v>
      </c>
      <c r="I483" s="77" t="s">
        <v>451</v>
      </c>
      <c r="J483" s="77" t="s">
        <v>469</v>
      </c>
      <c r="K483" s="77" t="s">
        <v>451</v>
      </c>
      <c r="L483" s="77" t="s">
        <v>451</v>
      </c>
      <c r="M483" s="62" t="str">
        <f t="shared" si="7"/>
        <v>View on Google Map</v>
      </c>
    </row>
    <row r="484" spans="1:13">
      <c r="A484" s="77">
        <v>157</v>
      </c>
      <c r="B484" s="77" t="s">
        <v>1346</v>
      </c>
      <c r="C484" s="77" t="s">
        <v>451</v>
      </c>
      <c r="D484" s="77">
        <v>68.629627802900004</v>
      </c>
      <c r="E484" s="77">
        <v>-149.655880887</v>
      </c>
      <c r="F484" s="77">
        <v>754</v>
      </c>
      <c r="G484" s="77" t="s">
        <v>460</v>
      </c>
      <c r="H484" s="77" t="s">
        <v>451</v>
      </c>
      <c r="I484" s="77" t="s">
        <v>451</v>
      </c>
      <c r="J484" s="77" t="s">
        <v>469</v>
      </c>
      <c r="K484" s="77" t="s">
        <v>451</v>
      </c>
      <c r="L484" s="77" t="s">
        <v>451</v>
      </c>
      <c r="M484" s="62" t="str">
        <f t="shared" si="7"/>
        <v>View on Google Map</v>
      </c>
    </row>
    <row r="485" spans="1:13">
      <c r="A485" s="77">
        <v>158</v>
      </c>
      <c r="B485" s="77" t="s">
        <v>1347</v>
      </c>
      <c r="C485" s="77" t="s">
        <v>451</v>
      </c>
      <c r="D485" s="77">
        <v>68.631486568699998</v>
      </c>
      <c r="E485" s="77">
        <v>-149.65910231699999</v>
      </c>
      <c r="F485" s="77">
        <v>754</v>
      </c>
      <c r="G485" s="77" t="s">
        <v>460</v>
      </c>
      <c r="H485" s="77" t="s">
        <v>451</v>
      </c>
      <c r="I485" s="77" t="s">
        <v>451</v>
      </c>
      <c r="J485" s="77" t="s">
        <v>469</v>
      </c>
      <c r="K485" s="77" t="s">
        <v>451</v>
      </c>
      <c r="L485" s="77" t="s">
        <v>451</v>
      </c>
      <c r="M485" s="62" t="str">
        <f t="shared" si="7"/>
        <v>View on Google Map</v>
      </c>
    </row>
    <row r="486" spans="1:13">
      <c r="A486" s="77">
        <v>169</v>
      </c>
      <c r="B486" s="77" t="s">
        <v>1348</v>
      </c>
      <c r="C486" s="77" t="s">
        <v>451</v>
      </c>
      <c r="D486" s="77" t="s">
        <v>451</v>
      </c>
      <c r="E486" s="77" t="s">
        <v>451</v>
      </c>
      <c r="F486" s="77" t="s">
        <v>451</v>
      </c>
      <c r="G486" s="77" t="s">
        <v>460</v>
      </c>
      <c r="H486" s="77" t="s">
        <v>451</v>
      </c>
      <c r="I486" s="77" t="s">
        <v>451</v>
      </c>
      <c r="J486" s="77" t="s">
        <v>469</v>
      </c>
      <c r="K486" s="77" t="s">
        <v>451</v>
      </c>
      <c r="L486" s="77" t="s">
        <v>451</v>
      </c>
      <c r="M486" s="62" t="str">
        <f t="shared" si="7"/>
        <v>View on Google Map</v>
      </c>
    </row>
    <row r="487" spans="1:13">
      <c r="A487" s="77">
        <v>170</v>
      </c>
      <c r="B487" s="77" t="s">
        <v>1349</v>
      </c>
      <c r="C487" s="77" t="s">
        <v>451</v>
      </c>
      <c r="D487" s="77" t="s">
        <v>451</v>
      </c>
      <c r="E487" s="77" t="s">
        <v>451</v>
      </c>
      <c r="F487" s="77" t="s">
        <v>451</v>
      </c>
      <c r="G487" s="77" t="s">
        <v>460</v>
      </c>
      <c r="H487" s="77" t="s">
        <v>451</v>
      </c>
      <c r="I487" s="77" t="s">
        <v>451</v>
      </c>
      <c r="J487" s="77" t="s">
        <v>469</v>
      </c>
      <c r="K487" s="77" t="s">
        <v>451</v>
      </c>
      <c r="L487" s="77" t="s">
        <v>451</v>
      </c>
      <c r="M487" s="62" t="str">
        <f t="shared" si="7"/>
        <v>View on Google Map</v>
      </c>
    </row>
    <row r="488" spans="1:13">
      <c r="A488" s="77">
        <v>136</v>
      </c>
      <c r="B488" s="77" t="s">
        <v>1350</v>
      </c>
      <c r="C488" s="77" t="s">
        <v>451</v>
      </c>
      <c r="D488" s="77">
        <v>70.233333333333334</v>
      </c>
      <c r="E488" s="77">
        <v>-148.25</v>
      </c>
      <c r="F488" s="77">
        <v>10</v>
      </c>
      <c r="G488" s="77" t="s">
        <v>460</v>
      </c>
      <c r="H488" s="77" t="s">
        <v>1351</v>
      </c>
      <c r="I488" s="77" t="s">
        <v>451</v>
      </c>
      <c r="J488" s="77" t="s">
        <v>469</v>
      </c>
      <c r="K488" s="77" t="s">
        <v>451</v>
      </c>
      <c r="L488" s="77" t="s">
        <v>470</v>
      </c>
      <c r="M488" s="62" t="str">
        <f t="shared" si="7"/>
        <v>View on Google Map</v>
      </c>
    </row>
    <row r="489" spans="1:13">
      <c r="A489" s="77">
        <v>6</v>
      </c>
      <c r="B489" s="77" t="s">
        <v>1352</v>
      </c>
      <c r="C489" s="77" t="s">
        <v>451</v>
      </c>
      <c r="D489" s="77" t="s">
        <v>451</v>
      </c>
      <c r="E489" s="77" t="s">
        <v>451</v>
      </c>
      <c r="F489" s="77">
        <v>457</v>
      </c>
      <c r="G489" s="77" t="s">
        <v>468</v>
      </c>
      <c r="H489" s="77" t="s">
        <v>1353</v>
      </c>
      <c r="I489" s="77" t="s">
        <v>1354</v>
      </c>
      <c r="J489" s="77" t="s">
        <v>469</v>
      </c>
      <c r="K489" s="77" t="s">
        <v>451</v>
      </c>
      <c r="L489" s="77" t="s">
        <v>470</v>
      </c>
      <c r="M489" s="62" t="str">
        <f t="shared" si="7"/>
        <v>View on Google Map</v>
      </c>
    </row>
    <row r="490" spans="1:13">
      <c r="A490" s="77">
        <v>20</v>
      </c>
      <c r="B490" s="77" t="s">
        <v>1355</v>
      </c>
      <c r="C490" s="77" t="s">
        <v>451</v>
      </c>
      <c r="D490" s="77" t="s">
        <v>451</v>
      </c>
      <c r="E490" s="77" t="s">
        <v>451</v>
      </c>
      <c r="F490" s="77" t="s">
        <v>451</v>
      </c>
      <c r="G490" s="77" t="s">
        <v>468</v>
      </c>
      <c r="H490" s="77" t="s">
        <v>451</v>
      </c>
      <c r="I490" s="77" t="s">
        <v>451</v>
      </c>
      <c r="J490" s="77" t="s">
        <v>469</v>
      </c>
      <c r="K490" s="77" t="s">
        <v>451</v>
      </c>
      <c r="L490" s="77" t="s">
        <v>451</v>
      </c>
      <c r="M490" s="62" t="str">
        <f t="shared" si="7"/>
        <v>View on Google Map</v>
      </c>
    </row>
    <row r="491" spans="1:13">
      <c r="A491" s="77">
        <v>1176</v>
      </c>
      <c r="B491" s="77" t="s">
        <v>1356</v>
      </c>
      <c r="C491" s="77" t="s">
        <v>475</v>
      </c>
      <c r="D491" s="77">
        <v>68.996418329999997</v>
      </c>
      <c r="E491" s="77">
        <v>-150.27895670000001</v>
      </c>
      <c r="F491" s="77" t="s">
        <v>451</v>
      </c>
      <c r="G491" s="77" t="s">
        <v>452</v>
      </c>
      <c r="H491" s="77" t="s">
        <v>451</v>
      </c>
      <c r="I491" s="77" t="s">
        <v>451</v>
      </c>
      <c r="J491" s="77" t="s">
        <v>456</v>
      </c>
      <c r="K491" s="77" t="s">
        <v>451</v>
      </c>
      <c r="L491" s="77" t="s">
        <v>457</v>
      </c>
      <c r="M491" s="62" t="str">
        <f t="shared" si="7"/>
        <v>View on Google Map</v>
      </c>
    </row>
    <row r="492" spans="1:13">
      <c r="A492" s="77">
        <v>509</v>
      </c>
      <c r="B492" s="77" t="s">
        <v>1357</v>
      </c>
      <c r="C492" s="77" t="s">
        <v>459</v>
      </c>
      <c r="D492" s="77">
        <v>68.338126000000003</v>
      </c>
      <c r="E492" s="77">
        <v>-151.061735</v>
      </c>
      <c r="F492" s="77">
        <v>840</v>
      </c>
      <c r="G492" s="77" t="s">
        <v>460</v>
      </c>
      <c r="H492" s="77" t="s">
        <v>451</v>
      </c>
      <c r="I492" s="77" t="s">
        <v>451</v>
      </c>
      <c r="J492" s="77" t="s">
        <v>461</v>
      </c>
      <c r="K492" s="77" t="s">
        <v>451</v>
      </c>
      <c r="L492" s="77" t="s">
        <v>462</v>
      </c>
      <c r="M492" s="62" t="str">
        <f t="shared" si="7"/>
        <v>View on Google Map</v>
      </c>
    </row>
    <row r="493" spans="1:13">
      <c r="A493" s="77">
        <v>36</v>
      </c>
      <c r="B493" s="77" t="s">
        <v>1358</v>
      </c>
      <c r="C493" s="77" t="s">
        <v>451</v>
      </c>
      <c r="D493" s="77">
        <v>69.233333333333334</v>
      </c>
      <c r="E493" s="77">
        <v>-150.804383333</v>
      </c>
      <c r="F493" s="77">
        <v>181.97</v>
      </c>
      <c r="G493" s="77" t="s">
        <v>468</v>
      </c>
      <c r="H493" s="77" t="s">
        <v>451</v>
      </c>
      <c r="I493" s="77" t="s">
        <v>451</v>
      </c>
      <c r="J493" s="77" t="s">
        <v>504</v>
      </c>
      <c r="K493" s="77" t="s">
        <v>451</v>
      </c>
      <c r="L493" s="77" t="s">
        <v>457</v>
      </c>
      <c r="M493" s="62" t="str">
        <f t="shared" si="7"/>
        <v>View on Google Map</v>
      </c>
    </row>
    <row r="494" spans="1:13">
      <c r="A494" s="77">
        <v>37</v>
      </c>
      <c r="B494" s="77" t="s">
        <v>1359</v>
      </c>
      <c r="C494" s="77" t="s">
        <v>451</v>
      </c>
      <c r="D494" s="77">
        <v>68.289683333333329</v>
      </c>
      <c r="E494" s="77">
        <v>-150.91499999999999</v>
      </c>
      <c r="F494" s="77">
        <v>392</v>
      </c>
      <c r="G494" s="77" t="s">
        <v>468</v>
      </c>
      <c r="H494" s="77" t="s">
        <v>451</v>
      </c>
      <c r="I494" s="77" t="s">
        <v>451</v>
      </c>
      <c r="J494" s="77" t="s">
        <v>504</v>
      </c>
      <c r="K494" s="77" t="s">
        <v>451</v>
      </c>
      <c r="L494" s="77" t="s">
        <v>457</v>
      </c>
      <c r="M494" s="62" t="str">
        <f t="shared" si="7"/>
        <v>View on Google Map</v>
      </c>
    </row>
    <row r="495" spans="1:13">
      <c r="A495" s="77">
        <v>130</v>
      </c>
      <c r="B495" s="77" t="s">
        <v>1360</v>
      </c>
      <c r="C495" s="77" t="s">
        <v>1361</v>
      </c>
      <c r="D495" s="77">
        <v>70.083333333333329</v>
      </c>
      <c r="E495" s="77">
        <v>-148.53333333333299</v>
      </c>
      <c r="F495" s="77">
        <v>24</v>
      </c>
      <c r="G495" s="77" t="s">
        <v>460</v>
      </c>
      <c r="H495" s="77" t="s">
        <v>1362</v>
      </c>
      <c r="I495" s="77" t="s">
        <v>451</v>
      </c>
      <c r="J495" s="77" t="s">
        <v>469</v>
      </c>
      <c r="K495" s="77" t="s">
        <v>451</v>
      </c>
      <c r="L495" s="77" t="s">
        <v>470</v>
      </c>
      <c r="M495" s="62" t="str">
        <f t="shared" si="7"/>
        <v>View on Google Map</v>
      </c>
    </row>
    <row r="496" spans="1:13">
      <c r="A496" s="77">
        <v>519</v>
      </c>
      <c r="B496" s="77" t="s">
        <v>1363</v>
      </c>
      <c r="C496" s="77" t="s">
        <v>459</v>
      </c>
      <c r="D496" s="77">
        <v>68.802636000000007</v>
      </c>
      <c r="E496" s="77">
        <v>-150.78539699999999</v>
      </c>
      <c r="F496" s="77">
        <v>411</v>
      </c>
      <c r="G496" s="77" t="s">
        <v>460</v>
      </c>
      <c r="H496" s="77" t="s">
        <v>451</v>
      </c>
      <c r="I496" s="77" t="s">
        <v>451</v>
      </c>
      <c r="J496" s="77" t="s">
        <v>461</v>
      </c>
      <c r="K496" s="77" t="s">
        <v>451</v>
      </c>
      <c r="L496" s="77" t="s">
        <v>462</v>
      </c>
      <c r="M496" s="62" t="str">
        <f t="shared" si="7"/>
        <v>View on Google Map</v>
      </c>
    </row>
    <row r="497" spans="1:13">
      <c r="A497" s="77">
        <v>452</v>
      </c>
      <c r="B497" s="77" t="s">
        <v>1364</v>
      </c>
      <c r="C497" s="77" t="s">
        <v>451</v>
      </c>
      <c r="D497" s="77">
        <v>68.794960000000003</v>
      </c>
      <c r="E497" s="77">
        <v>-149.04813999999999</v>
      </c>
      <c r="F497" s="77">
        <v>754</v>
      </c>
      <c r="G497" s="77" t="s">
        <v>460</v>
      </c>
      <c r="H497" s="77" t="s">
        <v>451</v>
      </c>
      <c r="I497" s="77" t="s">
        <v>451</v>
      </c>
      <c r="J497" s="77" t="s">
        <v>461</v>
      </c>
      <c r="K497" s="77" t="s">
        <v>451</v>
      </c>
      <c r="L497" s="77" t="s">
        <v>451</v>
      </c>
      <c r="M497" s="62" t="str">
        <f t="shared" si="7"/>
        <v>View on Google Map</v>
      </c>
    </row>
    <row r="498" spans="1:13">
      <c r="A498" s="77">
        <v>453</v>
      </c>
      <c r="B498" s="77" t="s">
        <v>1365</v>
      </c>
      <c r="C498" s="77" t="s">
        <v>451</v>
      </c>
      <c r="D498" s="77">
        <v>68.810460000000006</v>
      </c>
      <c r="E498" s="77">
        <v>-149.05207999999999</v>
      </c>
      <c r="F498" s="77">
        <v>727</v>
      </c>
      <c r="G498" s="77" t="s">
        <v>460</v>
      </c>
      <c r="H498" s="77" t="s">
        <v>451</v>
      </c>
      <c r="I498" s="77" t="s">
        <v>451</v>
      </c>
      <c r="J498" s="77" t="s">
        <v>461</v>
      </c>
      <c r="K498" s="77" t="s">
        <v>451</v>
      </c>
      <c r="L498" s="77" t="s">
        <v>451</v>
      </c>
      <c r="M498" s="62" t="str">
        <f t="shared" si="7"/>
        <v>View on Google Map</v>
      </c>
    </row>
    <row r="499" spans="1:13">
      <c r="A499" s="77">
        <v>454</v>
      </c>
      <c r="B499" s="77" t="s">
        <v>1366</v>
      </c>
      <c r="C499" s="77" t="s">
        <v>451</v>
      </c>
      <c r="D499" s="77">
        <v>68.815870000000004</v>
      </c>
      <c r="E499" s="77">
        <v>-149.06173999999999</v>
      </c>
      <c r="F499" s="77">
        <v>715</v>
      </c>
      <c r="G499" s="77" t="s">
        <v>460</v>
      </c>
      <c r="H499" s="77" t="s">
        <v>451</v>
      </c>
      <c r="I499" s="77" t="s">
        <v>451</v>
      </c>
      <c r="J499" s="77" t="s">
        <v>461</v>
      </c>
      <c r="K499" s="77" t="s">
        <v>451</v>
      </c>
      <c r="L499" s="77" t="s">
        <v>451</v>
      </c>
      <c r="M499" s="62" t="str">
        <f t="shared" si="7"/>
        <v>View on Google Map</v>
      </c>
    </row>
    <row r="500" spans="1:13">
      <c r="A500" s="77">
        <v>455</v>
      </c>
      <c r="B500" s="77" t="s">
        <v>1367</v>
      </c>
      <c r="C500" s="77" t="s">
        <v>451</v>
      </c>
      <c r="D500" s="77">
        <v>68.810519999999997</v>
      </c>
      <c r="E500" s="77">
        <v>-149.06282999999999</v>
      </c>
      <c r="F500" s="77">
        <v>728</v>
      </c>
      <c r="G500" s="77" t="s">
        <v>460</v>
      </c>
      <c r="H500" s="77" t="s">
        <v>451</v>
      </c>
      <c r="I500" s="77" t="s">
        <v>451</v>
      </c>
      <c r="J500" s="77" t="s">
        <v>461</v>
      </c>
      <c r="K500" s="77" t="s">
        <v>451</v>
      </c>
      <c r="L500" s="77" t="s">
        <v>451</v>
      </c>
      <c r="M500" s="62" t="str">
        <f t="shared" si="7"/>
        <v>View on Google Map</v>
      </c>
    </row>
    <row r="501" spans="1:13">
      <c r="A501" s="77">
        <v>456</v>
      </c>
      <c r="B501" s="77" t="s">
        <v>1368</v>
      </c>
      <c r="C501" s="77" t="s">
        <v>451</v>
      </c>
      <c r="D501" s="77">
        <v>68.812290000000004</v>
      </c>
      <c r="E501" s="77">
        <v>-149.06899000000001</v>
      </c>
      <c r="F501" s="77">
        <v>730</v>
      </c>
      <c r="G501" s="77" t="s">
        <v>460</v>
      </c>
      <c r="H501" s="77" t="s">
        <v>451</v>
      </c>
      <c r="I501" s="77" t="s">
        <v>451</v>
      </c>
      <c r="J501" s="77" t="s">
        <v>461</v>
      </c>
      <c r="K501" s="77" t="s">
        <v>451</v>
      </c>
      <c r="L501" s="77" t="s">
        <v>451</v>
      </c>
      <c r="M501" s="62" t="str">
        <f t="shared" si="7"/>
        <v>View on Google Map</v>
      </c>
    </row>
    <row r="502" spans="1:13">
      <c r="A502" s="77">
        <v>457</v>
      </c>
      <c r="B502" s="77" t="s">
        <v>1369</v>
      </c>
      <c r="C502" s="77" t="s">
        <v>451</v>
      </c>
      <c r="D502" s="77">
        <v>68.814369999999997</v>
      </c>
      <c r="E502" s="77">
        <v>-149.06774999999999</v>
      </c>
      <c r="F502" s="77">
        <v>724</v>
      </c>
      <c r="G502" s="77" t="s">
        <v>460</v>
      </c>
      <c r="H502" s="77" t="s">
        <v>451</v>
      </c>
      <c r="I502" s="77" t="s">
        <v>451</v>
      </c>
      <c r="J502" s="77" t="s">
        <v>461</v>
      </c>
      <c r="K502" s="77" t="s">
        <v>451</v>
      </c>
      <c r="L502" s="77" t="s">
        <v>451</v>
      </c>
      <c r="M502" s="62" t="str">
        <f t="shared" si="7"/>
        <v>View on Google Map</v>
      </c>
    </row>
    <row r="503" spans="1:13">
      <c r="A503" s="77">
        <v>38</v>
      </c>
      <c r="B503" s="77" t="s">
        <v>1370</v>
      </c>
      <c r="C503" s="77" t="s">
        <v>451</v>
      </c>
      <c r="D503" s="77">
        <v>69.011899999999997</v>
      </c>
      <c r="E503" s="77">
        <v>-150.30000000000001</v>
      </c>
      <c r="F503" s="77">
        <v>321</v>
      </c>
      <c r="G503" s="77" t="s">
        <v>468</v>
      </c>
      <c r="H503" s="77" t="s">
        <v>1371</v>
      </c>
      <c r="I503" s="77" t="s">
        <v>1372</v>
      </c>
      <c r="J503" s="77" t="s">
        <v>504</v>
      </c>
      <c r="K503" s="77" t="s">
        <v>451</v>
      </c>
      <c r="L503" s="77" t="s">
        <v>457</v>
      </c>
      <c r="M503" s="62" t="str">
        <f t="shared" si="7"/>
        <v>View on Google Map</v>
      </c>
    </row>
    <row r="504" spans="1:13">
      <c r="A504" s="77">
        <v>1211</v>
      </c>
      <c r="B504" s="77" t="s">
        <v>1373</v>
      </c>
      <c r="C504" s="77" t="s">
        <v>627</v>
      </c>
      <c r="D504" s="77">
        <v>68.996700000000004</v>
      </c>
      <c r="E504" s="77">
        <v>-150.28142</v>
      </c>
      <c r="F504" s="77" t="s">
        <v>451</v>
      </c>
      <c r="G504" s="77" t="s">
        <v>452</v>
      </c>
      <c r="H504" s="77" t="s">
        <v>451</v>
      </c>
      <c r="I504" s="77" t="s">
        <v>451</v>
      </c>
      <c r="J504" s="77" t="s">
        <v>456</v>
      </c>
      <c r="K504" s="77" t="s">
        <v>451</v>
      </c>
      <c r="L504" s="77" t="s">
        <v>457</v>
      </c>
      <c r="M504" s="62" t="str">
        <f t="shared" si="7"/>
        <v>View on Google Map</v>
      </c>
    </row>
    <row r="505" spans="1:13">
      <c r="A505" s="77">
        <v>1210</v>
      </c>
      <c r="B505" s="77" t="s">
        <v>1374</v>
      </c>
      <c r="C505" s="77" t="s">
        <v>627</v>
      </c>
      <c r="D505" s="77">
        <v>68.996700000000004</v>
      </c>
      <c r="E505" s="77">
        <v>-150.28142</v>
      </c>
      <c r="F505" s="77" t="s">
        <v>451</v>
      </c>
      <c r="G505" s="77" t="s">
        <v>452</v>
      </c>
      <c r="H505" s="77" t="s">
        <v>451</v>
      </c>
      <c r="I505" s="77" t="s">
        <v>451</v>
      </c>
      <c r="J505" s="77" t="s">
        <v>456</v>
      </c>
      <c r="K505" s="77" t="s">
        <v>451</v>
      </c>
      <c r="L505" s="77" t="s">
        <v>457</v>
      </c>
      <c r="M505" s="62" t="str">
        <f t="shared" si="7"/>
        <v>View on Google Map</v>
      </c>
    </row>
    <row r="506" spans="1:13">
      <c r="A506" s="77">
        <v>39</v>
      </c>
      <c r="B506" s="77" t="s">
        <v>1375</v>
      </c>
      <c r="C506" s="77" t="s">
        <v>451</v>
      </c>
      <c r="D506" s="77">
        <v>68.994600000000005</v>
      </c>
      <c r="E506" s="77">
        <v>-150.30699999999999</v>
      </c>
      <c r="F506" s="77">
        <v>307</v>
      </c>
      <c r="G506" s="77" t="s">
        <v>468</v>
      </c>
      <c r="H506" s="77" t="s">
        <v>1376</v>
      </c>
      <c r="I506" s="77" t="s">
        <v>451</v>
      </c>
      <c r="J506" s="77" t="s">
        <v>504</v>
      </c>
      <c r="K506" s="77" t="s">
        <v>451</v>
      </c>
      <c r="L506" s="77" t="s">
        <v>457</v>
      </c>
      <c r="M506" s="62" t="str">
        <f t="shared" si="7"/>
        <v>View on Google Map</v>
      </c>
    </row>
    <row r="507" spans="1:13">
      <c r="A507" s="77">
        <v>46</v>
      </c>
      <c r="B507" s="77" t="s">
        <v>1377</v>
      </c>
      <c r="C507" s="77" t="s">
        <v>451</v>
      </c>
      <c r="D507" s="77">
        <v>68.891069000000002</v>
      </c>
      <c r="E507" s="77">
        <v>-150.58501899999999</v>
      </c>
      <c r="F507" s="77" t="s">
        <v>451</v>
      </c>
      <c r="G507" s="77" t="s">
        <v>468</v>
      </c>
      <c r="H507" s="77" t="s">
        <v>451</v>
      </c>
      <c r="I507" s="77" t="s">
        <v>451</v>
      </c>
      <c r="J507" s="77" t="s">
        <v>1297</v>
      </c>
      <c r="K507" s="77" t="s">
        <v>451</v>
      </c>
      <c r="L507" s="77" t="s">
        <v>457</v>
      </c>
      <c r="M507" s="62" t="str">
        <f t="shared" si="7"/>
        <v>View on Google Map</v>
      </c>
    </row>
    <row r="508" spans="1:13">
      <c r="A508" s="77">
        <v>47</v>
      </c>
      <c r="B508" s="77" t="s">
        <v>1378</v>
      </c>
      <c r="C508" s="77" t="s">
        <v>451</v>
      </c>
      <c r="D508" s="77">
        <v>68.966999999999999</v>
      </c>
      <c r="E508" s="77">
        <v>-150.56673000000001</v>
      </c>
      <c r="F508" s="77" t="s">
        <v>451</v>
      </c>
      <c r="G508" s="77" t="s">
        <v>468</v>
      </c>
      <c r="H508" s="77" t="s">
        <v>451</v>
      </c>
      <c r="I508" s="77" t="s">
        <v>451</v>
      </c>
      <c r="J508" s="77" t="s">
        <v>1297</v>
      </c>
      <c r="K508" s="77" t="s">
        <v>451</v>
      </c>
      <c r="L508" s="77" t="s">
        <v>457</v>
      </c>
      <c r="M508" s="62" t="str">
        <f t="shared" si="7"/>
        <v>View on Google Map</v>
      </c>
    </row>
    <row r="509" spans="1:13">
      <c r="A509" s="77">
        <v>100</v>
      </c>
      <c r="B509" s="77" t="s">
        <v>1379</v>
      </c>
      <c r="C509" s="77" t="s">
        <v>1380</v>
      </c>
      <c r="D509" s="77">
        <v>68.629960999999994</v>
      </c>
      <c r="E509" s="77">
        <v>-149.61263299999999</v>
      </c>
      <c r="F509" s="77">
        <v>719</v>
      </c>
      <c r="G509" s="77" t="s">
        <v>460</v>
      </c>
      <c r="H509" s="77" t="s">
        <v>1381</v>
      </c>
      <c r="I509" s="77" t="s">
        <v>1382</v>
      </c>
      <c r="J509" s="77" t="s">
        <v>469</v>
      </c>
      <c r="K509" s="77" t="s">
        <v>451</v>
      </c>
      <c r="L509" s="77" t="s">
        <v>451</v>
      </c>
      <c r="M509" s="62" t="str">
        <f t="shared" si="7"/>
        <v>View on Google Map</v>
      </c>
    </row>
    <row r="510" spans="1:13">
      <c r="A510" s="77">
        <v>523</v>
      </c>
      <c r="B510" s="77" t="s">
        <v>1383</v>
      </c>
      <c r="C510" s="77" t="s">
        <v>1384</v>
      </c>
      <c r="D510" s="77">
        <v>68.626671999999999</v>
      </c>
      <c r="E510" s="77">
        <v>-149.59784400000001</v>
      </c>
      <c r="F510" s="77">
        <v>719</v>
      </c>
      <c r="G510" s="77" t="s">
        <v>460</v>
      </c>
      <c r="H510" s="77" t="s">
        <v>451</v>
      </c>
      <c r="I510" s="77" t="s">
        <v>451</v>
      </c>
      <c r="J510" s="77" t="s">
        <v>461</v>
      </c>
      <c r="K510" s="77" t="s">
        <v>451</v>
      </c>
      <c r="L510" s="77" t="s">
        <v>1385</v>
      </c>
      <c r="M510" s="62" t="str">
        <f t="shared" si="7"/>
        <v>View on Google Map</v>
      </c>
    </row>
    <row r="511" spans="1:13">
      <c r="A511" s="77">
        <v>524</v>
      </c>
      <c r="B511" s="77" t="s">
        <v>1386</v>
      </c>
      <c r="C511" s="77" t="s">
        <v>1384</v>
      </c>
      <c r="D511" s="77">
        <v>68.632586000000003</v>
      </c>
      <c r="E511" s="77">
        <v>-149.60089500000001</v>
      </c>
      <c r="F511" s="77">
        <v>719</v>
      </c>
      <c r="G511" s="77" t="s">
        <v>460</v>
      </c>
      <c r="H511" s="77" t="s">
        <v>451</v>
      </c>
      <c r="I511" s="77" t="s">
        <v>451</v>
      </c>
      <c r="J511" s="77" t="s">
        <v>461</v>
      </c>
      <c r="K511" s="77" t="s">
        <v>451</v>
      </c>
      <c r="L511" s="77" t="s">
        <v>1385</v>
      </c>
      <c r="M511" s="62" t="str">
        <f t="shared" si="7"/>
        <v>View on Google Map</v>
      </c>
    </row>
    <row r="512" spans="1:13">
      <c r="A512" s="77">
        <v>525</v>
      </c>
      <c r="B512" s="77" t="s">
        <v>1387</v>
      </c>
      <c r="C512" s="77" t="s">
        <v>1384</v>
      </c>
      <c r="D512" s="77">
        <v>68.636390000000006</v>
      </c>
      <c r="E512" s="77">
        <v>-149.594774</v>
      </c>
      <c r="F512" s="77">
        <v>719</v>
      </c>
      <c r="G512" s="77" t="s">
        <v>460</v>
      </c>
      <c r="H512" s="77" t="s">
        <v>451</v>
      </c>
      <c r="I512" s="77" t="s">
        <v>451</v>
      </c>
      <c r="J512" s="77" t="s">
        <v>461</v>
      </c>
      <c r="K512" s="77" t="s">
        <v>451</v>
      </c>
      <c r="L512" s="77" t="s">
        <v>1385</v>
      </c>
      <c r="M512" s="62" t="str">
        <f t="shared" si="7"/>
        <v>View on Google Map</v>
      </c>
    </row>
    <row r="513" spans="1:13">
      <c r="A513" s="77">
        <v>13</v>
      </c>
      <c r="B513" s="77" t="s">
        <v>1388</v>
      </c>
      <c r="C513" s="77" t="s">
        <v>451</v>
      </c>
      <c r="D513" s="77">
        <v>68.625600000000006</v>
      </c>
      <c r="E513" s="77">
        <v>-149.59604999999999</v>
      </c>
      <c r="F513" s="77">
        <v>719</v>
      </c>
      <c r="G513" s="77" t="s">
        <v>468</v>
      </c>
      <c r="H513" s="77" t="s">
        <v>1389</v>
      </c>
      <c r="I513" s="77" t="s">
        <v>1390</v>
      </c>
      <c r="J513" s="77" t="s">
        <v>469</v>
      </c>
      <c r="K513" s="77">
        <v>190</v>
      </c>
      <c r="L513" s="77" t="s">
        <v>823</v>
      </c>
      <c r="M513" s="62" t="str">
        <f t="shared" si="7"/>
        <v>View on Google Map</v>
      </c>
    </row>
    <row r="514" spans="1:13">
      <c r="A514" s="77">
        <v>522</v>
      </c>
      <c r="B514" s="77" t="s">
        <v>1391</v>
      </c>
      <c r="C514" s="77" t="s">
        <v>1384</v>
      </c>
      <c r="D514" s="77">
        <v>68.625966000000005</v>
      </c>
      <c r="E514" s="77">
        <v>-149.59902199999999</v>
      </c>
      <c r="F514" s="77">
        <v>719</v>
      </c>
      <c r="G514" s="77" t="s">
        <v>460</v>
      </c>
      <c r="H514" s="77" t="s">
        <v>451</v>
      </c>
      <c r="I514" s="77" t="s">
        <v>451</v>
      </c>
      <c r="J514" s="77" t="s">
        <v>461</v>
      </c>
      <c r="K514" s="77" t="s">
        <v>451</v>
      </c>
      <c r="L514" s="77" t="s">
        <v>1385</v>
      </c>
      <c r="M514" s="62" t="str">
        <f t="shared" si="7"/>
        <v>View on Google Map</v>
      </c>
    </row>
    <row r="515" spans="1:13">
      <c r="A515" s="77">
        <v>101</v>
      </c>
      <c r="B515" s="77" t="s">
        <v>1392</v>
      </c>
      <c r="C515" s="77" t="s">
        <v>1393</v>
      </c>
      <c r="D515" s="77" t="s">
        <v>451</v>
      </c>
      <c r="E515" s="77" t="s">
        <v>451</v>
      </c>
      <c r="F515" s="77">
        <v>719</v>
      </c>
      <c r="G515" s="77" t="s">
        <v>460</v>
      </c>
      <c r="H515" s="77" t="s">
        <v>451</v>
      </c>
      <c r="I515" s="77" t="s">
        <v>451</v>
      </c>
      <c r="J515" s="77" t="s">
        <v>469</v>
      </c>
      <c r="K515" s="77" t="s">
        <v>451</v>
      </c>
      <c r="L515" s="77" t="s">
        <v>451</v>
      </c>
      <c r="M515" s="62" t="str">
        <f t="shared" ref="M515:M576" si="8">HYPERLINK("http://maps.google.com/maps?q="&amp;D515&amp;","&amp;E515,"View on Google Map")</f>
        <v>View on Google Map</v>
      </c>
    </row>
    <row r="516" spans="1:13">
      <c r="A516" s="77">
        <v>102</v>
      </c>
      <c r="B516" s="77" t="s">
        <v>1394</v>
      </c>
      <c r="C516" s="77" t="s">
        <v>1395</v>
      </c>
      <c r="D516" s="77">
        <v>68.638623999999993</v>
      </c>
      <c r="E516" s="77">
        <v>-149.610737</v>
      </c>
      <c r="F516" s="77">
        <v>719</v>
      </c>
      <c r="G516" s="77" t="s">
        <v>460</v>
      </c>
      <c r="H516" s="77" t="s">
        <v>1396</v>
      </c>
      <c r="I516" s="77" t="s">
        <v>1397</v>
      </c>
      <c r="J516" s="77" t="s">
        <v>469</v>
      </c>
      <c r="K516" s="77" t="s">
        <v>451</v>
      </c>
      <c r="L516" s="77" t="s">
        <v>451</v>
      </c>
      <c r="M516" s="62" t="str">
        <f t="shared" si="8"/>
        <v>View on Google Map</v>
      </c>
    </row>
    <row r="517" spans="1:13">
      <c r="A517" s="77">
        <v>526</v>
      </c>
      <c r="B517" s="77" t="s">
        <v>1398</v>
      </c>
      <c r="C517" s="77" t="s">
        <v>1384</v>
      </c>
      <c r="D517" s="77">
        <v>68.633232000000007</v>
      </c>
      <c r="E517" s="77">
        <v>-149.61149</v>
      </c>
      <c r="F517" s="77">
        <v>719</v>
      </c>
      <c r="G517" s="77" t="s">
        <v>460</v>
      </c>
      <c r="H517" s="77" t="s">
        <v>451</v>
      </c>
      <c r="I517" s="77" t="s">
        <v>451</v>
      </c>
      <c r="J517" s="77" t="s">
        <v>461</v>
      </c>
      <c r="K517" s="77" t="s">
        <v>451</v>
      </c>
      <c r="L517" s="77" t="s">
        <v>1385</v>
      </c>
      <c r="M517" s="62" t="str">
        <f t="shared" si="8"/>
        <v>View on Google Map</v>
      </c>
    </row>
    <row r="518" spans="1:13">
      <c r="A518" s="77">
        <v>14</v>
      </c>
      <c r="B518" s="77" t="s">
        <v>1399</v>
      </c>
      <c r="C518" s="77" t="s">
        <v>451</v>
      </c>
      <c r="D518" s="77" t="s">
        <v>451</v>
      </c>
      <c r="E518" s="77" t="s">
        <v>451</v>
      </c>
      <c r="F518" s="77">
        <v>719</v>
      </c>
      <c r="G518" s="77" t="s">
        <v>468</v>
      </c>
      <c r="H518" s="77" t="s">
        <v>1400</v>
      </c>
      <c r="I518" s="77" t="s">
        <v>451</v>
      </c>
      <c r="J518" s="77" t="s">
        <v>469</v>
      </c>
      <c r="K518" s="77" t="s">
        <v>451</v>
      </c>
      <c r="L518" s="77" t="s">
        <v>451</v>
      </c>
      <c r="M518" s="62" t="str">
        <f t="shared" si="8"/>
        <v>View on Google Map</v>
      </c>
    </row>
    <row r="519" spans="1:13">
      <c r="A519" s="77">
        <v>527</v>
      </c>
      <c r="B519" s="77" t="s">
        <v>1401</v>
      </c>
      <c r="C519" s="77" t="s">
        <v>1384</v>
      </c>
      <c r="D519" s="77">
        <v>68.639894999999996</v>
      </c>
      <c r="E519" s="77">
        <v>-149.59610599999999</v>
      </c>
      <c r="F519" s="77">
        <v>719</v>
      </c>
      <c r="G519" s="77" t="s">
        <v>460</v>
      </c>
      <c r="H519" s="77" t="s">
        <v>451</v>
      </c>
      <c r="I519" s="77" t="s">
        <v>451</v>
      </c>
      <c r="J519" s="77" t="s">
        <v>461</v>
      </c>
      <c r="K519" s="77" t="s">
        <v>451</v>
      </c>
      <c r="L519" s="77" t="s">
        <v>1385</v>
      </c>
      <c r="M519" s="62" t="str">
        <f t="shared" si="8"/>
        <v>View on Google Map</v>
      </c>
    </row>
    <row r="520" spans="1:13">
      <c r="A520" s="77">
        <v>9</v>
      </c>
      <c r="B520" s="77" t="s">
        <v>1402</v>
      </c>
      <c r="C520" s="77" t="s">
        <v>451</v>
      </c>
      <c r="D520" s="77" t="s">
        <v>451</v>
      </c>
      <c r="E520" s="77" t="s">
        <v>451</v>
      </c>
      <c r="F520" s="77">
        <v>823</v>
      </c>
      <c r="G520" s="77" t="s">
        <v>468</v>
      </c>
      <c r="H520" s="77" t="s">
        <v>451</v>
      </c>
      <c r="I520" s="77" t="s">
        <v>451</v>
      </c>
      <c r="J520" s="77" t="s">
        <v>469</v>
      </c>
      <c r="K520" s="77" t="s">
        <v>451</v>
      </c>
      <c r="L520" s="77" t="s">
        <v>451</v>
      </c>
      <c r="M520" s="62" t="str">
        <f t="shared" si="8"/>
        <v>View on Google Map</v>
      </c>
    </row>
    <row r="521" spans="1:13">
      <c r="A521" s="77">
        <v>22</v>
      </c>
      <c r="B521" s="77" t="s">
        <v>1403</v>
      </c>
      <c r="C521" s="77" t="s">
        <v>451</v>
      </c>
      <c r="D521" s="77" t="s">
        <v>451</v>
      </c>
      <c r="E521" s="77" t="s">
        <v>451</v>
      </c>
      <c r="F521" s="77" t="s">
        <v>451</v>
      </c>
      <c r="G521" s="77" t="s">
        <v>468</v>
      </c>
      <c r="H521" s="77" t="s">
        <v>1404</v>
      </c>
      <c r="I521" s="77" t="s">
        <v>451</v>
      </c>
      <c r="J521" s="77" t="s">
        <v>469</v>
      </c>
      <c r="K521" s="77" t="s">
        <v>451</v>
      </c>
      <c r="L521" s="77" t="s">
        <v>451</v>
      </c>
      <c r="M521" s="62" t="str">
        <f t="shared" si="8"/>
        <v>View on Google Map</v>
      </c>
    </row>
    <row r="522" spans="1:13">
      <c r="A522" s="77">
        <v>528</v>
      </c>
      <c r="B522" s="77" t="s">
        <v>1405</v>
      </c>
      <c r="C522" s="77" t="s">
        <v>1384</v>
      </c>
      <c r="D522" s="77">
        <v>68.634241000000003</v>
      </c>
      <c r="E522" s="77">
        <v>-149.60275899999999</v>
      </c>
      <c r="F522" s="77">
        <v>719</v>
      </c>
      <c r="G522" s="77" t="s">
        <v>460</v>
      </c>
      <c r="H522" s="77" t="s">
        <v>451</v>
      </c>
      <c r="I522" s="77" t="s">
        <v>451</v>
      </c>
      <c r="J522" s="77" t="s">
        <v>461</v>
      </c>
      <c r="K522" s="77" t="s">
        <v>451</v>
      </c>
      <c r="L522" s="77" t="s">
        <v>1385</v>
      </c>
      <c r="M522" s="62" t="str">
        <f t="shared" si="8"/>
        <v>View on Google Map</v>
      </c>
    </row>
    <row r="523" spans="1:13">
      <c r="A523" s="77">
        <v>521</v>
      </c>
      <c r="B523" s="77" t="s">
        <v>1406</v>
      </c>
      <c r="C523" s="77" t="s">
        <v>1384</v>
      </c>
      <c r="D523" s="77">
        <v>68.628656000000007</v>
      </c>
      <c r="E523" s="77">
        <v>-149.59960599999999</v>
      </c>
      <c r="F523" s="77">
        <v>719</v>
      </c>
      <c r="G523" s="77" t="s">
        <v>460</v>
      </c>
      <c r="H523" s="77" t="s">
        <v>451</v>
      </c>
      <c r="I523" s="77" t="s">
        <v>451</v>
      </c>
      <c r="J523" s="77" t="s">
        <v>461</v>
      </c>
      <c r="K523" s="77" t="s">
        <v>451</v>
      </c>
      <c r="L523" s="77" t="s">
        <v>1385</v>
      </c>
      <c r="M523" s="62" t="str">
        <f t="shared" si="8"/>
        <v>View on Google Map</v>
      </c>
    </row>
    <row r="524" spans="1:13">
      <c r="A524" s="77">
        <v>520</v>
      </c>
      <c r="B524" s="77" t="s">
        <v>1407</v>
      </c>
      <c r="C524" s="77" t="s">
        <v>1384</v>
      </c>
      <c r="D524" s="77">
        <v>68.633064000000005</v>
      </c>
      <c r="E524" s="77">
        <v>-149.62826999999999</v>
      </c>
      <c r="F524" s="77">
        <v>719</v>
      </c>
      <c r="G524" s="77" t="s">
        <v>460</v>
      </c>
      <c r="H524" s="77" t="s">
        <v>451</v>
      </c>
      <c r="I524" s="77" t="s">
        <v>451</v>
      </c>
      <c r="J524" s="77" t="s">
        <v>461</v>
      </c>
      <c r="K524" s="77" t="s">
        <v>451</v>
      </c>
      <c r="L524" s="77" t="s">
        <v>1385</v>
      </c>
      <c r="M524" s="62" t="str">
        <f t="shared" si="8"/>
        <v>View on Google Map</v>
      </c>
    </row>
    <row r="525" spans="1:13">
      <c r="A525" s="77">
        <v>901</v>
      </c>
      <c r="B525" s="77" t="s">
        <v>1408</v>
      </c>
      <c r="C525" s="77" t="s">
        <v>1409</v>
      </c>
      <c r="D525" s="77" t="s">
        <v>451</v>
      </c>
      <c r="E525" s="77" t="s">
        <v>451</v>
      </c>
      <c r="F525" s="77" t="s">
        <v>451</v>
      </c>
      <c r="G525" s="77" t="s">
        <v>451</v>
      </c>
      <c r="H525" s="77" t="s">
        <v>1410</v>
      </c>
      <c r="I525" s="77" t="s">
        <v>451</v>
      </c>
      <c r="J525" s="77" t="s">
        <v>451</v>
      </c>
      <c r="K525" s="77" t="s">
        <v>451</v>
      </c>
      <c r="L525" s="77" t="s">
        <v>451</v>
      </c>
      <c r="M525" s="62" t="str">
        <f t="shared" si="8"/>
        <v>View on Google Map</v>
      </c>
    </row>
    <row r="526" spans="1:13">
      <c r="A526" s="77">
        <v>902</v>
      </c>
      <c r="B526" s="77" t="s">
        <v>1411</v>
      </c>
      <c r="C526" s="77" t="s">
        <v>1409</v>
      </c>
      <c r="D526" s="77" t="s">
        <v>451</v>
      </c>
      <c r="E526" s="77" t="s">
        <v>451</v>
      </c>
      <c r="F526" s="77">
        <v>757</v>
      </c>
      <c r="G526" s="77" t="s">
        <v>452</v>
      </c>
      <c r="H526" s="77" t="s">
        <v>1412</v>
      </c>
      <c r="I526" s="77" t="s">
        <v>451</v>
      </c>
      <c r="J526" s="77" t="s">
        <v>469</v>
      </c>
      <c r="K526" s="77" t="s">
        <v>451</v>
      </c>
      <c r="L526" s="77" t="s">
        <v>451</v>
      </c>
      <c r="M526" s="62" t="str">
        <f t="shared" si="8"/>
        <v>View on Google Map</v>
      </c>
    </row>
    <row r="527" spans="1:13">
      <c r="A527" s="77">
        <v>903</v>
      </c>
      <c r="B527" s="77" t="s">
        <v>1413</v>
      </c>
      <c r="C527" s="77" t="s">
        <v>1409</v>
      </c>
      <c r="D527" s="77" t="s">
        <v>451</v>
      </c>
      <c r="E527" s="77" t="s">
        <v>451</v>
      </c>
      <c r="F527" s="77">
        <v>770</v>
      </c>
      <c r="G527" s="77" t="s">
        <v>452</v>
      </c>
      <c r="H527" s="77" t="s">
        <v>1414</v>
      </c>
      <c r="I527" s="77" t="s">
        <v>451</v>
      </c>
      <c r="J527" s="77" t="s">
        <v>469</v>
      </c>
      <c r="K527" s="77" t="s">
        <v>451</v>
      </c>
      <c r="L527" s="77" t="s">
        <v>451</v>
      </c>
      <c r="M527" s="62" t="str">
        <f t="shared" si="8"/>
        <v>View on Google Map</v>
      </c>
    </row>
    <row r="528" spans="1:13">
      <c r="A528" s="77">
        <v>904</v>
      </c>
      <c r="B528" s="77" t="s">
        <v>1415</v>
      </c>
      <c r="C528" s="77" t="s">
        <v>1409</v>
      </c>
      <c r="D528" s="77" t="s">
        <v>451</v>
      </c>
      <c r="E528" s="77" t="s">
        <v>451</v>
      </c>
      <c r="F528" s="77">
        <v>770</v>
      </c>
      <c r="G528" s="77" t="s">
        <v>452</v>
      </c>
      <c r="H528" s="77" t="s">
        <v>1416</v>
      </c>
      <c r="I528" s="77" t="s">
        <v>451</v>
      </c>
      <c r="J528" s="77" t="s">
        <v>469</v>
      </c>
      <c r="K528" s="77" t="s">
        <v>451</v>
      </c>
      <c r="L528" s="77" t="s">
        <v>451</v>
      </c>
      <c r="M528" s="62" t="str">
        <f t="shared" si="8"/>
        <v>View on Google Map</v>
      </c>
    </row>
    <row r="529" spans="1:13">
      <c r="A529" s="77">
        <v>905</v>
      </c>
      <c r="B529" s="77" t="s">
        <v>1417</v>
      </c>
      <c r="C529" s="77" t="s">
        <v>1409</v>
      </c>
      <c r="D529" s="77" t="s">
        <v>451</v>
      </c>
      <c r="E529" s="77" t="s">
        <v>451</v>
      </c>
      <c r="F529" s="77">
        <v>769</v>
      </c>
      <c r="G529" s="77" t="s">
        <v>452</v>
      </c>
      <c r="H529" s="77" t="s">
        <v>1418</v>
      </c>
      <c r="I529" s="77" t="s">
        <v>451</v>
      </c>
      <c r="J529" s="77" t="s">
        <v>469</v>
      </c>
      <c r="K529" s="77" t="s">
        <v>451</v>
      </c>
      <c r="L529" s="77" t="s">
        <v>451</v>
      </c>
      <c r="M529" s="62" t="str">
        <f t="shared" si="8"/>
        <v>View on Google Map</v>
      </c>
    </row>
    <row r="530" spans="1:13">
      <c r="A530" s="77">
        <v>906</v>
      </c>
      <c r="B530" s="77" t="s">
        <v>1419</v>
      </c>
      <c r="C530" s="77" t="s">
        <v>1409</v>
      </c>
      <c r="D530" s="77" t="s">
        <v>451</v>
      </c>
      <c r="E530" s="77" t="s">
        <v>451</v>
      </c>
      <c r="F530" s="77">
        <v>769</v>
      </c>
      <c r="G530" s="77" t="s">
        <v>452</v>
      </c>
      <c r="H530" s="77" t="s">
        <v>1420</v>
      </c>
      <c r="I530" s="77" t="s">
        <v>451</v>
      </c>
      <c r="J530" s="77" t="s">
        <v>469</v>
      </c>
      <c r="K530" s="77" t="s">
        <v>451</v>
      </c>
      <c r="L530" s="77" t="s">
        <v>451</v>
      </c>
      <c r="M530" s="62" t="str">
        <f t="shared" si="8"/>
        <v>View on Google Map</v>
      </c>
    </row>
    <row r="531" spans="1:13">
      <c r="A531" s="77">
        <v>907</v>
      </c>
      <c r="B531" s="77" t="s">
        <v>1421</v>
      </c>
      <c r="C531" s="77" t="s">
        <v>1409</v>
      </c>
      <c r="D531" s="77" t="s">
        <v>451</v>
      </c>
      <c r="E531" s="77" t="s">
        <v>451</v>
      </c>
      <c r="F531" s="77">
        <v>770</v>
      </c>
      <c r="G531" s="77" t="s">
        <v>452</v>
      </c>
      <c r="H531" s="77" t="s">
        <v>1422</v>
      </c>
      <c r="I531" s="77" t="s">
        <v>451</v>
      </c>
      <c r="J531" s="77" t="s">
        <v>469</v>
      </c>
      <c r="K531" s="77" t="s">
        <v>451</v>
      </c>
      <c r="L531" s="77" t="s">
        <v>451</v>
      </c>
      <c r="M531" s="62" t="str">
        <f t="shared" si="8"/>
        <v>View on Google Map</v>
      </c>
    </row>
    <row r="532" spans="1:13">
      <c r="A532" s="77">
        <v>908</v>
      </c>
      <c r="B532" s="77" t="s">
        <v>1423</v>
      </c>
      <c r="C532" s="77" t="s">
        <v>1409</v>
      </c>
      <c r="D532" s="77" t="s">
        <v>451</v>
      </c>
      <c r="E532" s="77" t="s">
        <v>451</v>
      </c>
      <c r="F532" s="77">
        <v>770</v>
      </c>
      <c r="G532" s="77" t="s">
        <v>452</v>
      </c>
      <c r="H532" s="77" t="s">
        <v>1424</v>
      </c>
      <c r="I532" s="77" t="s">
        <v>451</v>
      </c>
      <c r="J532" s="77" t="s">
        <v>469</v>
      </c>
      <c r="K532" s="77" t="s">
        <v>451</v>
      </c>
      <c r="L532" s="77" t="s">
        <v>451</v>
      </c>
      <c r="M532" s="62" t="str">
        <f t="shared" si="8"/>
        <v>View on Google Map</v>
      </c>
    </row>
    <row r="533" spans="1:13">
      <c r="A533" s="77">
        <v>909</v>
      </c>
      <c r="B533" s="77" t="s">
        <v>1425</v>
      </c>
      <c r="C533" s="77" t="s">
        <v>1409</v>
      </c>
      <c r="D533" s="77" t="s">
        <v>451</v>
      </c>
      <c r="E533" s="77" t="s">
        <v>451</v>
      </c>
      <c r="F533" s="77">
        <v>764</v>
      </c>
      <c r="G533" s="77" t="s">
        <v>452</v>
      </c>
      <c r="H533" s="77" t="s">
        <v>1426</v>
      </c>
      <c r="I533" s="77" t="s">
        <v>451</v>
      </c>
      <c r="J533" s="77" t="s">
        <v>469</v>
      </c>
      <c r="K533" s="77" t="s">
        <v>451</v>
      </c>
      <c r="L533" s="77" t="s">
        <v>451</v>
      </c>
      <c r="M533" s="62" t="str">
        <f t="shared" si="8"/>
        <v>View on Google Map</v>
      </c>
    </row>
    <row r="534" spans="1:13">
      <c r="A534" s="77">
        <v>910</v>
      </c>
      <c r="B534" s="77" t="s">
        <v>1427</v>
      </c>
      <c r="C534" s="77" t="s">
        <v>1409</v>
      </c>
      <c r="D534" s="77" t="s">
        <v>451</v>
      </c>
      <c r="E534" s="77" t="s">
        <v>451</v>
      </c>
      <c r="F534" s="77">
        <v>764</v>
      </c>
      <c r="G534" s="77" t="s">
        <v>452</v>
      </c>
      <c r="H534" s="77" t="s">
        <v>1428</v>
      </c>
      <c r="I534" s="77" t="s">
        <v>451</v>
      </c>
      <c r="J534" s="77" t="s">
        <v>469</v>
      </c>
      <c r="K534" s="77" t="s">
        <v>451</v>
      </c>
      <c r="L534" s="77" t="s">
        <v>451</v>
      </c>
      <c r="M534" s="62" t="str">
        <f t="shared" si="8"/>
        <v>View on Google Map</v>
      </c>
    </row>
    <row r="535" spans="1:13">
      <c r="A535" s="77">
        <v>911</v>
      </c>
      <c r="B535" s="77" t="s">
        <v>1429</v>
      </c>
      <c r="C535" s="77" t="s">
        <v>1409</v>
      </c>
      <c r="D535" s="77" t="s">
        <v>451</v>
      </c>
      <c r="E535" s="77" t="s">
        <v>451</v>
      </c>
      <c r="F535" s="77">
        <v>760</v>
      </c>
      <c r="G535" s="77" t="s">
        <v>452</v>
      </c>
      <c r="H535" s="77" t="s">
        <v>1430</v>
      </c>
      <c r="I535" s="77" t="s">
        <v>451</v>
      </c>
      <c r="J535" s="77" t="s">
        <v>469</v>
      </c>
      <c r="K535" s="77" t="s">
        <v>451</v>
      </c>
      <c r="L535" s="77" t="s">
        <v>451</v>
      </c>
      <c r="M535" s="62" t="str">
        <f t="shared" si="8"/>
        <v>View on Google Map</v>
      </c>
    </row>
    <row r="536" spans="1:13">
      <c r="A536" s="77">
        <v>912</v>
      </c>
      <c r="B536" s="77" t="s">
        <v>1431</v>
      </c>
      <c r="C536" s="77" t="s">
        <v>1409</v>
      </c>
      <c r="D536" s="77" t="s">
        <v>451</v>
      </c>
      <c r="E536" s="77" t="s">
        <v>451</v>
      </c>
      <c r="F536" s="77">
        <v>760</v>
      </c>
      <c r="G536" s="77" t="s">
        <v>452</v>
      </c>
      <c r="H536" s="77" t="s">
        <v>1432</v>
      </c>
      <c r="I536" s="77" t="s">
        <v>451</v>
      </c>
      <c r="J536" s="77" t="s">
        <v>469</v>
      </c>
      <c r="K536" s="77" t="s">
        <v>451</v>
      </c>
      <c r="L536" s="77" t="s">
        <v>451</v>
      </c>
      <c r="M536" s="62" t="str">
        <f t="shared" si="8"/>
        <v>View on Google Map</v>
      </c>
    </row>
    <row r="537" spans="1:13">
      <c r="A537" s="77">
        <v>913</v>
      </c>
      <c r="B537" s="77" t="s">
        <v>1433</v>
      </c>
      <c r="C537" s="77" t="s">
        <v>1409</v>
      </c>
      <c r="D537" s="77" t="s">
        <v>451</v>
      </c>
      <c r="E537" s="77" t="s">
        <v>451</v>
      </c>
      <c r="F537" s="77">
        <v>759</v>
      </c>
      <c r="G537" s="77" t="s">
        <v>452</v>
      </c>
      <c r="H537" s="77" t="s">
        <v>1434</v>
      </c>
      <c r="I537" s="77" t="s">
        <v>451</v>
      </c>
      <c r="J537" s="77" t="s">
        <v>469</v>
      </c>
      <c r="K537" s="77" t="s">
        <v>451</v>
      </c>
      <c r="L537" s="77" t="s">
        <v>451</v>
      </c>
      <c r="M537" s="62" t="str">
        <f t="shared" si="8"/>
        <v>View on Google Map</v>
      </c>
    </row>
    <row r="538" spans="1:13">
      <c r="A538" s="77">
        <v>914</v>
      </c>
      <c r="B538" s="77" t="s">
        <v>1435</v>
      </c>
      <c r="C538" s="77" t="s">
        <v>1409</v>
      </c>
      <c r="D538" s="77" t="s">
        <v>451</v>
      </c>
      <c r="E538" s="77" t="s">
        <v>451</v>
      </c>
      <c r="F538" s="77">
        <v>758</v>
      </c>
      <c r="G538" s="77" t="s">
        <v>452</v>
      </c>
      <c r="H538" s="77" t="s">
        <v>1436</v>
      </c>
      <c r="I538" s="77" t="s">
        <v>451</v>
      </c>
      <c r="J538" s="77" t="s">
        <v>469</v>
      </c>
      <c r="K538" s="77" t="s">
        <v>451</v>
      </c>
      <c r="L538" s="77" t="s">
        <v>451</v>
      </c>
      <c r="M538" s="62" t="str">
        <f t="shared" si="8"/>
        <v>View on Google Map</v>
      </c>
    </row>
    <row r="539" spans="1:13">
      <c r="A539" s="77">
        <v>915</v>
      </c>
      <c r="B539" s="77" t="s">
        <v>1437</v>
      </c>
      <c r="C539" s="77" t="s">
        <v>1438</v>
      </c>
      <c r="D539" s="77">
        <v>68.627900999999994</v>
      </c>
      <c r="E539" s="77">
        <v>-149.61295100000001</v>
      </c>
      <c r="F539" s="77">
        <v>759</v>
      </c>
      <c r="G539" s="77" t="s">
        <v>452</v>
      </c>
      <c r="H539" s="77" t="s">
        <v>1439</v>
      </c>
      <c r="I539" s="77" t="s">
        <v>1440</v>
      </c>
      <c r="J539" s="77" t="s">
        <v>469</v>
      </c>
      <c r="K539" s="77" t="s">
        <v>451</v>
      </c>
      <c r="L539" s="77" t="s">
        <v>451</v>
      </c>
      <c r="M539" s="62" t="str">
        <f t="shared" si="8"/>
        <v>View on Google Map</v>
      </c>
    </row>
    <row r="540" spans="1:13">
      <c r="A540" s="77">
        <v>900</v>
      </c>
      <c r="B540" s="77" t="s">
        <v>1441</v>
      </c>
      <c r="C540" s="77" t="s">
        <v>451</v>
      </c>
      <c r="D540" s="77">
        <v>68.623487999999995</v>
      </c>
      <c r="E540" s="77">
        <v>-149.616559</v>
      </c>
      <c r="F540" s="77">
        <v>761</v>
      </c>
      <c r="G540" s="77" t="s">
        <v>452</v>
      </c>
      <c r="H540" s="77" t="s">
        <v>1442</v>
      </c>
      <c r="I540" s="77" t="s">
        <v>1443</v>
      </c>
      <c r="J540" s="77" t="s">
        <v>469</v>
      </c>
      <c r="K540" s="77" t="s">
        <v>451</v>
      </c>
      <c r="L540" s="77" t="s">
        <v>451</v>
      </c>
      <c r="M540" s="62" t="str">
        <f t="shared" si="8"/>
        <v>View on Google Map</v>
      </c>
    </row>
    <row r="541" spans="1:13">
      <c r="A541" s="77">
        <v>42</v>
      </c>
      <c r="B541" s="77" t="s">
        <v>1444</v>
      </c>
      <c r="C541" s="77" t="s">
        <v>451</v>
      </c>
      <c r="D541" s="77">
        <v>68.960555999999997</v>
      </c>
      <c r="E541" s="77">
        <v>-150.63055600000001</v>
      </c>
      <c r="F541" s="77" t="s">
        <v>451</v>
      </c>
      <c r="G541" s="77" t="s">
        <v>468</v>
      </c>
      <c r="H541" s="77" t="s">
        <v>1445</v>
      </c>
      <c r="I541" s="77" t="s">
        <v>451</v>
      </c>
      <c r="J541" s="77" t="s">
        <v>1297</v>
      </c>
      <c r="K541" s="77" t="s">
        <v>451</v>
      </c>
      <c r="L541" s="77" t="s">
        <v>457</v>
      </c>
      <c r="M541" s="62" t="str">
        <f t="shared" si="8"/>
        <v>View on Google Map</v>
      </c>
    </row>
    <row r="542" spans="1:13">
      <c r="A542" s="77">
        <v>43</v>
      </c>
      <c r="B542" s="77" t="s">
        <v>1446</v>
      </c>
      <c r="C542" s="77" t="s">
        <v>451</v>
      </c>
      <c r="D542" s="77">
        <v>68.935101000000003</v>
      </c>
      <c r="E542" s="77">
        <v>-150.68391700000001</v>
      </c>
      <c r="F542" s="77" t="s">
        <v>451</v>
      </c>
      <c r="G542" s="77" t="s">
        <v>468</v>
      </c>
      <c r="H542" s="77" t="s">
        <v>1447</v>
      </c>
      <c r="I542" s="77" t="s">
        <v>451</v>
      </c>
      <c r="J542" s="77" t="s">
        <v>1297</v>
      </c>
      <c r="K542" s="77" t="s">
        <v>451</v>
      </c>
      <c r="L542" s="77" t="s">
        <v>457</v>
      </c>
      <c r="M542" s="62" t="str">
        <f t="shared" si="8"/>
        <v>View on Google Map</v>
      </c>
    </row>
    <row r="543" spans="1:13">
      <c r="A543" s="77">
        <v>44</v>
      </c>
      <c r="B543" s="77" t="s">
        <v>1448</v>
      </c>
      <c r="C543" s="77" t="s">
        <v>451</v>
      </c>
      <c r="D543" s="77">
        <v>68.916987000000006</v>
      </c>
      <c r="E543" s="77">
        <v>-150.659291</v>
      </c>
      <c r="F543" s="77" t="s">
        <v>451</v>
      </c>
      <c r="G543" s="77" t="s">
        <v>468</v>
      </c>
      <c r="H543" s="77" t="s">
        <v>1449</v>
      </c>
      <c r="I543" s="77" t="s">
        <v>451</v>
      </c>
      <c r="J543" s="77" t="s">
        <v>1297</v>
      </c>
      <c r="K543" s="77" t="s">
        <v>451</v>
      </c>
      <c r="L543" s="77" t="s">
        <v>457</v>
      </c>
      <c r="M543" s="62" t="str">
        <f t="shared" si="8"/>
        <v>View on Google Map</v>
      </c>
    </row>
    <row r="544" spans="1:13">
      <c r="A544" s="77">
        <v>932</v>
      </c>
      <c r="B544" s="77" t="s">
        <v>1450</v>
      </c>
      <c r="C544" s="77" t="s">
        <v>451</v>
      </c>
      <c r="D544" s="77" t="s">
        <v>451</v>
      </c>
      <c r="E544" s="77" t="s">
        <v>451</v>
      </c>
      <c r="F544" s="77">
        <v>750</v>
      </c>
      <c r="G544" s="77" t="s">
        <v>452</v>
      </c>
      <c r="H544" s="77" t="s">
        <v>1451</v>
      </c>
      <c r="I544" s="77" t="s">
        <v>1452</v>
      </c>
      <c r="J544" s="77" t="s">
        <v>469</v>
      </c>
      <c r="K544" s="77" t="s">
        <v>451</v>
      </c>
      <c r="L544" s="77" t="s">
        <v>451</v>
      </c>
      <c r="M544" s="62" t="str">
        <f t="shared" si="8"/>
        <v>View on Google Map</v>
      </c>
    </row>
    <row r="545" spans="1:13">
      <c r="A545" s="77">
        <v>920</v>
      </c>
      <c r="B545" s="77" t="s">
        <v>1453</v>
      </c>
      <c r="C545" s="77" t="s">
        <v>451</v>
      </c>
      <c r="D545" s="77" t="s">
        <v>451</v>
      </c>
      <c r="E545" s="77" t="s">
        <v>451</v>
      </c>
      <c r="F545" s="77">
        <v>760</v>
      </c>
      <c r="G545" s="77" t="s">
        <v>452</v>
      </c>
      <c r="H545" s="77" t="s">
        <v>1454</v>
      </c>
      <c r="I545" s="77" t="s">
        <v>1455</v>
      </c>
      <c r="J545" s="77" t="s">
        <v>469</v>
      </c>
      <c r="K545" s="77" t="s">
        <v>451</v>
      </c>
      <c r="L545" s="77" t="s">
        <v>451</v>
      </c>
      <c r="M545" s="62" t="str">
        <f t="shared" si="8"/>
        <v>View on Google Map</v>
      </c>
    </row>
    <row r="546" spans="1:13">
      <c r="A546" s="77">
        <v>921</v>
      </c>
      <c r="B546" s="77" t="s">
        <v>1456</v>
      </c>
      <c r="C546" s="77" t="s">
        <v>451</v>
      </c>
      <c r="D546" s="77" t="s">
        <v>451</v>
      </c>
      <c r="E546" s="77" t="s">
        <v>451</v>
      </c>
      <c r="F546" s="77">
        <v>720</v>
      </c>
      <c r="G546" s="77" t="s">
        <v>452</v>
      </c>
      <c r="H546" s="77" t="s">
        <v>1457</v>
      </c>
      <c r="I546" s="77" t="s">
        <v>1458</v>
      </c>
      <c r="J546" s="77" t="s">
        <v>469</v>
      </c>
      <c r="K546" s="77" t="s">
        <v>451</v>
      </c>
      <c r="L546" s="77" t="s">
        <v>451</v>
      </c>
      <c r="M546" s="62" t="str">
        <f t="shared" si="8"/>
        <v>View on Google Map</v>
      </c>
    </row>
    <row r="547" spans="1:13">
      <c r="A547" s="77">
        <v>922</v>
      </c>
      <c r="B547" s="77" t="s">
        <v>1459</v>
      </c>
      <c r="C547" s="77" t="s">
        <v>451</v>
      </c>
      <c r="D547" s="77" t="s">
        <v>451</v>
      </c>
      <c r="E547" s="77" t="s">
        <v>451</v>
      </c>
      <c r="F547" s="77">
        <v>750</v>
      </c>
      <c r="G547" s="77" t="s">
        <v>452</v>
      </c>
      <c r="H547" s="77" t="s">
        <v>1460</v>
      </c>
      <c r="I547" s="77" t="s">
        <v>1461</v>
      </c>
      <c r="J547" s="77" t="s">
        <v>469</v>
      </c>
      <c r="K547" s="77" t="s">
        <v>451</v>
      </c>
      <c r="L547" s="77" t="s">
        <v>451</v>
      </c>
      <c r="M547" s="62" t="str">
        <f t="shared" si="8"/>
        <v>View on Google Map</v>
      </c>
    </row>
    <row r="548" spans="1:13">
      <c r="A548" s="77">
        <v>923</v>
      </c>
      <c r="B548" s="77" t="s">
        <v>1462</v>
      </c>
      <c r="C548" s="77" t="s">
        <v>451</v>
      </c>
      <c r="D548" s="77" t="s">
        <v>451</v>
      </c>
      <c r="E548" s="77" t="s">
        <v>451</v>
      </c>
      <c r="F548" s="77">
        <v>750</v>
      </c>
      <c r="G548" s="77" t="s">
        <v>452</v>
      </c>
      <c r="H548" s="77" t="s">
        <v>1463</v>
      </c>
      <c r="I548" s="77" t="s">
        <v>1464</v>
      </c>
      <c r="J548" s="77" t="s">
        <v>469</v>
      </c>
      <c r="K548" s="77" t="s">
        <v>451</v>
      </c>
      <c r="L548" s="77" t="s">
        <v>451</v>
      </c>
      <c r="M548" s="62" t="str">
        <f t="shared" si="8"/>
        <v>View on Google Map</v>
      </c>
    </row>
    <row r="549" spans="1:13">
      <c r="A549" s="77">
        <v>924</v>
      </c>
      <c r="B549" s="77" t="s">
        <v>1465</v>
      </c>
      <c r="C549" s="77" t="s">
        <v>451</v>
      </c>
      <c r="D549" s="77" t="s">
        <v>451</v>
      </c>
      <c r="E549" s="77" t="s">
        <v>451</v>
      </c>
      <c r="F549" s="77">
        <v>750</v>
      </c>
      <c r="G549" s="77" t="s">
        <v>452</v>
      </c>
      <c r="H549" s="77" t="s">
        <v>1466</v>
      </c>
      <c r="I549" s="77" t="s">
        <v>1467</v>
      </c>
      <c r="J549" s="77" t="s">
        <v>469</v>
      </c>
      <c r="K549" s="77" t="s">
        <v>451</v>
      </c>
      <c r="L549" s="77" t="s">
        <v>451</v>
      </c>
      <c r="M549" s="62" t="str">
        <f t="shared" si="8"/>
        <v>View on Google Map</v>
      </c>
    </row>
    <row r="550" spans="1:13">
      <c r="A550" s="77">
        <v>925</v>
      </c>
      <c r="B550" s="77" t="s">
        <v>1468</v>
      </c>
      <c r="C550" s="77" t="s">
        <v>451</v>
      </c>
      <c r="D550" s="77" t="s">
        <v>451</v>
      </c>
      <c r="E550" s="77" t="s">
        <v>451</v>
      </c>
      <c r="F550" s="77">
        <v>750</v>
      </c>
      <c r="G550" s="77" t="s">
        <v>452</v>
      </c>
      <c r="H550" s="77" t="s">
        <v>1469</v>
      </c>
      <c r="I550" s="77" t="s">
        <v>1470</v>
      </c>
      <c r="J550" s="77" t="s">
        <v>469</v>
      </c>
      <c r="K550" s="77" t="s">
        <v>451</v>
      </c>
      <c r="L550" s="77" t="s">
        <v>451</v>
      </c>
      <c r="M550" s="62" t="str">
        <f t="shared" si="8"/>
        <v>View on Google Map</v>
      </c>
    </row>
    <row r="551" spans="1:13">
      <c r="A551" s="77">
        <v>926</v>
      </c>
      <c r="B551" s="77" t="s">
        <v>1471</v>
      </c>
      <c r="C551" s="77" t="s">
        <v>451</v>
      </c>
      <c r="D551" s="77" t="s">
        <v>451</v>
      </c>
      <c r="E551" s="77" t="s">
        <v>451</v>
      </c>
      <c r="F551" s="77">
        <v>750</v>
      </c>
      <c r="G551" s="77" t="s">
        <v>452</v>
      </c>
      <c r="H551" s="77" t="s">
        <v>1472</v>
      </c>
      <c r="I551" s="77" t="s">
        <v>1473</v>
      </c>
      <c r="J551" s="77" t="s">
        <v>469</v>
      </c>
      <c r="K551" s="77" t="s">
        <v>451</v>
      </c>
      <c r="L551" s="77" t="s">
        <v>451</v>
      </c>
      <c r="M551" s="62" t="str">
        <f t="shared" si="8"/>
        <v>View on Google Map</v>
      </c>
    </row>
    <row r="552" spans="1:13">
      <c r="A552" s="77">
        <v>927</v>
      </c>
      <c r="B552" s="77" t="s">
        <v>1474</v>
      </c>
      <c r="C552" s="77" t="s">
        <v>451</v>
      </c>
      <c r="D552" s="77" t="s">
        <v>451</v>
      </c>
      <c r="E552" s="77" t="s">
        <v>451</v>
      </c>
      <c r="F552" s="77">
        <v>750</v>
      </c>
      <c r="G552" s="77" t="s">
        <v>452</v>
      </c>
      <c r="H552" s="77" t="s">
        <v>1475</v>
      </c>
      <c r="I552" s="77" t="s">
        <v>1476</v>
      </c>
      <c r="J552" s="77" t="s">
        <v>469</v>
      </c>
      <c r="K552" s="77" t="s">
        <v>451</v>
      </c>
      <c r="L552" s="77" t="s">
        <v>451</v>
      </c>
      <c r="M552" s="62" t="str">
        <f t="shared" si="8"/>
        <v>View on Google Map</v>
      </c>
    </row>
    <row r="553" spans="1:13">
      <c r="A553" s="77">
        <v>928</v>
      </c>
      <c r="B553" s="77" t="s">
        <v>1477</v>
      </c>
      <c r="C553" s="77" t="s">
        <v>451</v>
      </c>
      <c r="D553" s="77" t="s">
        <v>451</v>
      </c>
      <c r="E553" s="77" t="s">
        <v>451</v>
      </c>
      <c r="F553" s="77">
        <v>750</v>
      </c>
      <c r="G553" s="77" t="s">
        <v>452</v>
      </c>
      <c r="H553" s="77" t="s">
        <v>1478</v>
      </c>
      <c r="I553" s="77" t="s">
        <v>1479</v>
      </c>
      <c r="J553" s="77" t="s">
        <v>469</v>
      </c>
      <c r="K553" s="77" t="s">
        <v>451</v>
      </c>
      <c r="L553" s="77" t="s">
        <v>451</v>
      </c>
      <c r="M553" s="62" t="str">
        <f t="shared" si="8"/>
        <v>View on Google Map</v>
      </c>
    </row>
    <row r="554" spans="1:13">
      <c r="A554" s="77">
        <v>929</v>
      </c>
      <c r="B554" s="77" t="s">
        <v>1480</v>
      </c>
      <c r="C554" s="77" t="s">
        <v>451</v>
      </c>
      <c r="D554" s="77" t="s">
        <v>451</v>
      </c>
      <c r="E554" s="77" t="s">
        <v>451</v>
      </c>
      <c r="F554" s="77">
        <v>750</v>
      </c>
      <c r="G554" s="77" t="s">
        <v>452</v>
      </c>
      <c r="H554" s="77" t="s">
        <v>1481</v>
      </c>
      <c r="I554" s="77" t="s">
        <v>1482</v>
      </c>
      <c r="J554" s="77" t="s">
        <v>469</v>
      </c>
      <c r="K554" s="77" t="s">
        <v>451</v>
      </c>
      <c r="L554" s="77" t="s">
        <v>451</v>
      </c>
      <c r="M554" s="62" t="str">
        <f t="shared" si="8"/>
        <v>View on Google Map</v>
      </c>
    </row>
    <row r="555" spans="1:13">
      <c r="A555" s="77">
        <v>930</v>
      </c>
      <c r="B555" s="77" t="s">
        <v>1483</v>
      </c>
      <c r="C555" s="77" t="s">
        <v>451</v>
      </c>
      <c r="D555" s="77" t="s">
        <v>451</v>
      </c>
      <c r="E555" s="77" t="s">
        <v>451</v>
      </c>
      <c r="F555" s="77">
        <v>750</v>
      </c>
      <c r="G555" s="77" t="s">
        <v>452</v>
      </c>
      <c r="H555" s="77" t="s">
        <v>1484</v>
      </c>
      <c r="I555" s="77" t="s">
        <v>1485</v>
      </c>
      <c r="J555" s="77" t="s">
        <v>469</v>
      </c>
      <c r="K555" s="77" t="s">
        <v>451</v>
      </c>
      <c r="L555" s="77" t="s">
        <v>451</v>
      </c>
      <c r="M555" s="62" t="str">
        <f t="shared" si="8"/>
        <v>View on Google Map</v>
      </c>
    </row>
    <row r="556" spans="1:13">
      <c r="A556" s="77">
        <v>931</v>
      </c>
      <c r="B556" s="77" t="s">
        <v>1486</v>
      </c>
      <c r="C556" s="77" t="s">
        <v>451</v>
      </c>
      <c r="D556" s="77" t="s">
        <v>451</v>
      </c>
      <c r="E556" s="77" t="s">
        <v>451</v>
      </c>
      <c r="F556" s="77">
        <v>750</v>
      </c>
      <c r="G556" s="77" t="s">
        <v>452</v>
      </c>
      <c r="H556" s="77" t="s">
        <v>1487</v>
      </c>
      <c r="I556" s="77" t="s">
        <v>1488</v>
      </c>
      <c r="J556" s="77" t="s">
        <v>469</v>
      </c>
      <c r="K556" s="77" t="s">
        <v>451</v>
      </c>
      <c r="L556" s="77" t="s">
        <v>451</v>
      </c>
      <c r="M556" s="62" t="str">
        <f t="shared" si="8"/>
        <v>View on Google Map</v>
      </c>
    </row>
    <row r="557" spans="1:13">
      <c r="A557" s="77">
        <v>370</v>
      </c>
      <c r="B557" s="77" t="s">
        <v>1489</v>
      </c>
      <c r="C557" s="77" t="s">
        <v>451</v>
      </c>
      <c r="D557" s="77" t="s">
        <v>451</v>
      </c>
      <c r="E557" s="77" t="s">
        <v>451</v>
      </c>
      <c r="F557" s="77" t="s">
        <v>451</v>
      </c>
      <c r="G557" s="77" t="s">
        <v>460</v>
      </c>
      <c r="H557" s="77" t="s">
        <v>451</v>
      </c>
      <c r="I557" s="77" t="s">
        <v>451</v>
      </c>
      <c r="J557" s="77" t="s">
        <v>469</v>
      </c>
      <c r="K557" s="77" t="s">
        <v>451</v>
      </c>
      <c r="L557" s="77" t="s">
        <v>1490</v>
      </c>
      <c r="M557" s="62" t="str">
        <f t="shared" si="8"/>
        <v>View on Google Map</v>
      </c>
    </row>
    <row r="558" spans="1:13">
      <c r="A558" s="77">
        <v>371</v>
      </c>
      <c r="B558" s="77" t="s">
        <v>1491</v>
      </c>
      <c r="C558" s="77" t="s">
        <v>451</v>
      </c>
      <c r="D558" s="77" t="s">
        <v>451</v>
      </c>
      <c r="E558" s="77" t="s">
        <v>451</v>
      </c>
      <c r="F558" s="77" t="s">
        <v>451</v>
      </c>
      <c r="G558" s="77" t="s">
        <v>460</v>
      </c>
      <c r="H558" s="77" t="s">
        <v>451</v>
      </c>
      <c r="I558" s="77" t="s">
        <v>451</v>
      </c>
      <c r="J558" s="77" t="s">
        <v>469</v>
      </c>
      <c r="K558" s="77" t="s">
        <v>451</v>
      </c>
      <c r="L558" s="77" t="s">
        <v>1490</v>
      </c>
      <c r="M558" s="62" t="str">
        <f t="shared" si="8"/>
        <v>View on Google Map</v>
      </c>
    </row>
    <row r="559" spans="1:13">
      <c r="A559" s="77">
        <v>372</v>
      </c>
      <c r="B559" s="77" t="s">
        <v>1492</v>
      </c>
      <c r="C559" s="77" t="s">
        <v>451</v>
      </c>
      <c r="D559" s="77" t="s">
        <v>451</v>
      </c>
      <c r="E559" s="77" t="s">
        <v>451</v>
      </c>
      <c r="F559" s="77" t="s">
        <v>451</v>
      </c>
      <c r="G559" s="77" t="s">
        <v>460</v>
      </c>
      <c r="H559" s="77" t="s">
        <v>451</v>
      </c>
      <c r="I559" s="77" t="s">
        <v>451</v>
      </c>
      <c r="J559" s="77" t="s">
        <v>469</v>
      </c>
      <c r="K559" s="77" t="s">
        <v>451</v>
      </c>
      <c r="L559" s="77" t="s">
        <v>1490</v>
      </c>
      <c r="M559" s="62" t="str">
        <f t="shared" si="8"/>
        <v>View on Google Map</v>
      </c>
    </row>
    <row r="560" spans="1:13">
      <c r="A560" s="77">
        <v>373</v>
      </c>
      <c r="B560" s="77" t="s">
        <v>1493</v>
      </c>
      <c r="C560" s="77" t="s">
        <v>451</v>
      </c>
      <c r="D560" s="77" t="s">
        <v>451</v>
      </c>
      <c r="E560" s="77" t="s">
        <v>451</v>
      </c>
      <c r="F560" s="77" t="s">
        <v>451</v>
      </c>
      <c r="G560" s="77" t="s">
        <v>460</v>
      </c>
      <c r="H560" s="77" t="s">
        <v>451</v>
      </c>
      <c r="I560" s="77" t="s">
        <v>451</v>
      </c>
      <c r="J560" s="77" t="s">
        <v>469</v>
      </c>
      <c r="K560" s="77" t="s">
        <v>451</v>
      </c>
      <c r="L560" s="77" t="s">
        <v>1490</v>
      </c>
      <c r="M560" s="62" t="str">
        <f t="shared" si="8"/>
        <v>View on Google Map</v>
      </c>
    </row>
    <row r="561" spans="1:13">
      <c r="A561" s="77">
        <v>374</v>
      </c>
      <c r="B561" s="77" t="s">
        <v>1494</v>
      </c>
      <c r="C561" s="77" t="s">
        <v>451</v>
      </c>
      <c r="D561" s="77" t="s">
        <v>451</v>
      </c>
      <c r="E561" s="77" t="s">
        <v>451</v>
      </c>
      <c r="F561" s="77" t="s">
        <v>451</v>
      </c>
      <c r="G561" s="77" t="s">
        <v>460</v>
      </c>
      <c r="H561" s="77" t="s">
        <v>451</v>
      </c>
      <c r="I561" s="77" t="s">
        <v>451</v>
      </c>
      <c r="J561" s="77" t="s">
        <v>469</v>
      </c>
      <c r="K561" s="77" t="s">
        <v>451</v>
      </c>
      <c r="L561" s="77" t="s">
        <v>1490</v>
      </c>
      <c r="M561" s="62" t="str">
        <f t="shared" si="8"/>
        <v>View on Google Map</v>
      </c>
    </row>
    <row r="562" spans="1:13">
      <c r="A562" s="77">
        <v>375</v>
      </c>
      <c r="B562" s="77" t="s">
        <v>1495</v>
      </c>
      <c r="C562" s="77" t="s">
        <v>451</v>
      </c>
      <c r="D562" s="77" t="s">
        <v>451</v>
      </c>
      <c r="E562" s="77" t="s">
        <v>451</v>
      </c>
      <c r="F562" s="77" t="s">
        <v>451</v>
      </c>
      <c r="G562" s="77" t="s">
        <v>460</v>
      </c>
      <c r="H562" s="77" t="s">
        <v>451</v>
      </c>
      <c r="I562" s="77" t="s">
        <v>451</v>
      </c>
      <c r="J562" s="77" t="s">
        <v>469</v>
      </c>
      <c r="K562" s="77" t="s">
        <v>451</v>
      </c>
      <c r="L562" s="77" t="s">
        <v>1490</v>
      </c>
      <c r="M562" s="62" t="str">
        <f t="shared" si="8"/>
        <v>View on Google Map</v>
      </c>
    </row>
    <row r="563" spans="1:13">
      <c r="A563" s="77">
        <v>376</v>
      </c>
      <c r="B563" s="77" t="s">
        <v>1496</v>
      </c>
      <c r="C563" s="77" t="s">
        <v>451</v>
      </c>
      <c r="D563" s="77" t="s">
        <v>451</v>
      </c>
      <c r="E563" s="77" t="s">
        <v>451</v>
      </c>
      <c r="F563" s="77" t="s">
        <v>451</v>
      </c>
      <c r="G563" s="77" t="s">
        <v>460</v>
      </c>
      <c r="H563" s="77" t="s">
        <v>451</v>
      </c>
      <c r="I563" s="77" t="s">
        <v>451</v>
      </c>
      <c r="J563" s="77" t="s">
        <v>469</v>
      </c>
      <c r="K563" s="77" t="s">
        <v>451</v>
      </c>
      <c r="L563" s="77" t="s">
        <v>1490</v>
      </c>
      <c r="M563" s="62" t="str">
        <f t="shared" si="8"/>
        <v>View on Google Map</v>
      </c>
    </row>
    <row r="564" spans="1:13">
      <c r="A564" s="77">
        <v>377</v>
      </c>
      <c r="B564" s="77" t="s">
        <v>1497</v>
      </c>
      <c r="C564" s="77" t="s">
        <v>451</v>
      </c>
      <c r="D564" s="77" t="s">
        <v>451</v>
      </c>
      <c r="E564" s="77" t="s">
        <v>451</v>
      </c>
      <c r="F564" s="77" t="s">
        <v>451</v>
      </c>
      <c r="G564" s="77" t="s">
        <v>460</v>
      </c>
      <c r="H564" s="77" t="s">
        <v>451</v>
      </c>
      <c r="I564" s="77" t="s">
        <v>451</v>
      </c>
      <c r="J564" s="77" t="s">
        <v>469</v>
      </c>
      <c r="K564" s="77" t="s">
        <v>451</v>
      </c>
      <c r="L564" s="77" t="s">
        <v>1490</v>
      </c>
      <c r="M564" s="62" t="str">
        <f t="shared" si="8"/>
        <v>View on Google Map</v>
      </c>
    </row>
    <row r="565" spans="1:13">
      <c r="A565" s="77">
        <v>378</v>
      </c>
      <c r="B565" s="77" t="s">
        <v>1498</v>
      </c>
      <c r="C565" s="77" t="s">
        <v>451</v>
      </c>
      <c r="D565" s="77" t="s">
        <v>451</v>
      </c>
      <c r="E565" s="77" t="s">
        <v>451</v>
      </c>
      <c r="F565" s="77" t="s">
        <v>451</v>
      </c>
      <c r="G565" s="77" t="s">
        <v>460</v>
      </c>
      <c r="H565" s="77" t="s">
        <v>451</v>
      </c>
      <c r="I565" s="77" t="s">
        <v>451</v>
      </c>
      <c r="J565" s="77" t="s">
        <v>469</v>
      </c>
      <c r="K565" s="77" t="s">
        <v>451</v>
      </c>
      <c r="L565" s="77" t="s">
        <v>1490</v>
      </c>
      <c r="M565" s="62" t="str">
        <f t="shared" si="8"/>
        <v>View on Google Map</v>
      </c>
    </row>
    <row r="566" spans="1:13">
      <c r="A566" s="77">
        <v>379</v>
      </c>
      <c r="B566" s="77" t="s">
        <v>1499</v>
      </c>
      <c r="C566" s="77" t="s">
        <v>451</v>
      </c>
      <c r="D566" s="77" t="s">
        <v>451</v>
      </c>
      <c r="E566" s="77" t="s">
        <v>451</v>
      </c>
      <c r="F566" s="77" t="s">
        <v>451</v>
      </c>
      <c r="G566" s="77" t="s">
        <v>460</v>
      </c>
      <c r="H566" s="77" t="s">
        <v>451</v>
      </c>
      <c r="I566" s="77" t="s">
        <v>451</v>
      </c>
      <c r="J566" s="77" t="s">
        <v>469</v>
      </c>
      <c r="K566" s="77" t="s">
        <v>451</v>
      </c>
      <c r="L566" s="77" t="s">
        <v>1490</v>
      </c>
      <c r="M566" s="62" t="str">
        <f t="shared" si="8"/>
        <v>View on Google Map</v>
      </c>
    </row>
    <row r="567" spans="1:13">
      <c r="A567" s="77">
        <v>458</v>
      </c>
      <c r="B567" s="77" t="s">
        <v>1500</v>
      </c>
      <c r="C567" s="77" t="s">
        <v>451</v>
      </c>
      <c r="D567" s="77">
        <v>68.986329999999995</v>
      </c>
      <c r="E567" s="77">
        <v>-149.89803000000001</v>
      </c>
      <c r="F567" s="77">
        <v>419</v>
      </c>
      <c r="G567" s="77" t="s">
        <v>460</v>
      </c>
      <c r="H567" s="77" t="s">
        <v>451</v>
      </c>
      <c r="I567" s="77" t="s">
        <v>451</v>
      </c>
      <c r="J567" s="77" t="s">
        <v>461</v>
      </c>
      <c r="K567" s="77" t="s">
        <v>451</v>
      </c>
      <c r="L567" s="77" t="s">
        <v>451</v>
      </c>
      <c r="M567" s="62" t="str">
        <f t="shared" si="8"/>
        <v>View on Google Map</v>
      </c>
    </row>
    <row r="568" spans="1:13">
      <c r="A568" s="77">
        <v>459</v>
      </c>
      <c r="B568" s="77" t="s">
        <v>1501</v>
      </c>
      <c r="C568" s="77" t="s">
        <v>451</v>
      </c>
      <c r="D568" s="77">
        <v>68.983530000000002</v>
      </c>
      <c r="E568" s="77">
        <v>-149.89436000000001</v>
      </c>
      <c r="F568" s="77">
        <v>408</v>
      </c>
      <c r="G568" s="77" t="s">
        <v>460</v>
      </c>
      <c r="H568" s="77" t="s">
        <v>451</v>
      </c>
      <c r="I568" s="77" t="s">
        <v>451</v>
      </c>
      <c r="J568" s="77" t="s">
        <v>461</v>
      </c>
      <c r="K568" s="77" t="s">
        <v>451</v>
      </c>
      <c r="L568" s="77" t="s">
        <v>451</v>
      </c>
      <c r="M568" s="62" t="str">
        <f t="shared" si="8"/>
        <v>View on Google Map</v>
      </c>
    </row>
    <row r="569" spans="1:13">
      <c r="A569" s="77">
        <v>460</v>
      </c>
      <c r="B569" s="77" t="s">
        <v>1502</v>
      </c>
      <c r="C569" s="77" t="s">
        <v>451</v>
      </c>
      <c r="D569" s="77">
        <v>68.978710000000007</v>
      </c>
      <c r="E569" s="77">
        <v>-149.89182</v>
      </c>
      <c r="F569" s="77">
        <v>394</v>
      </c>
      <c r="G569" s="77" t="s">
        <v>460</v>
      </c>
      <c r="H569" s="77" t="s">
        <v>451</v>
      </c>
      <c r="I569" s="77" t="s">
        <v>451</v>
      </c>
      <c r="J569" s="77" t="s">
        <v>461</v>
      </c>
      <c r="K569" s="77" t="s">
        <v>451</v>
      </c>
      <c r="L569" s="77" t="s">
        <v>451</v>
      </c>
      <c r="M569" s="62" t="str">
        <f t="shared" si="8"/>
        <v>View on Google Map</v>
      </c>
    </row>
    <row r="570" spans="1:13">
      <c r="A570" s="77">
        <v>461</v>
      </c>
      <c r="B570" s="77" t="s">
        <v>1503</v>
      </c>
      <c r="C570" s="77" t="s">
        <v>451</v>
      </c>
      <c r="D570" s="77">
        <v>68.861750000000001</v>
      </c>
      <c r="E570" s="77">
        <v>-149.03908000000001</v>
      </c>
      <c r="F570" s="77">
        <v>651</v>
      </c>
      <c r="G570" s="77" t="s">
        <v>460</v>
      </c>
      <c r="H570" s="77" t="s">
        <v>451</v>
      </c>
      <c r="I570" s="77" t="s">
        <v>451</v>
      </c>
      <c r="J570" s="77" t="s">
        <v>461</v>
      </c>
      <c r="K570" s="77" t="s">
        <v>451</v>
      </c>
      <c r="L570" s="77" t="s">
        <v>451</v>
      </c>
      <c r="M570" s="62" t="str">
        <f t="shared" si="8"/>
        <v>View on Google Map</v>
      </c>
    </row>
    <row r="571" spans="1:13">
      <c r="A571" s="77">
        <v>462</v>
      </c>
      <c r="B571" s="77" t="s">
        <v>1504</v>
      </c>
      <c r="C571" s="77" t="s">
        <v>451</v>
      </c>
      <c r="D571" s="77">
        <v>68.867549999999994</v>
      </c>
      <c r="E571" s="77">
        <v>-149.03557000000001</v>
      </c>
      <c r="F571" s="77">
        <v>638</v>
      </c>
      <c r="G571" s="77" t="s">
        <v>460</v>
      </c>
      <c r="H571" s="77" t="s">
        <v>451</v>
      </c>
      <c r="I571" s="77" t="s">
        <v>451</v>
      </c>
      <c r="J571" s="77" t="s">
        <v>461</v>
      </c>
      <c r="K571" s="77" t="s">
        <v>451</v>
      </c>
      <c r="L571" s="77" t="s">
        <v>451</v>
      </c>
      <c r="M571" s="62" t="str">
        <f t="shared" si="8"/>
        <v>View on Google Map</v>
      </c>
    </row>
    <row r="572" spans="1:13">
      <c r="A572" s="77">
        <v>463</v>
      </c>
      <c r="B572" s="77" t="s">
        <v>1505</v>
      </c>
      <c r="C572" s="77" t="s">
        <v>451</v>
      </c>
      <c r="D572" s="77">
        <v>68.873149999999995</v>
      </c>
      <c r="E572" s="77">
        <v>-149.04128</v>
      </c>
      <c r="F572" s="77">
        <v>637</v>
      </c>
      <c r="G572" s="77" t="s">
        <v>460</v>
      </c>
      <c r="H572" s="77" t="s">
        <v>451</v>
      </c>
      <c r="I572" s="77" t="s">
        <v>451</v>
      </c>
      <c r="J572" s="77" t="s">
        <v>461</v>
      </c>
      <c r="K572" s="77" t="s">
        <v>451</v>
      </c>
      <c r="L572" s="77" t="s">
        <v>451</v>
      </c>
      <c r="M572" s="62" t="str">
        <f t="shared" si="8"/>
        <v>View on Google Map</v>
      </c>
    </row>
    <row r="573" spans="1:13">
      <c r="A573" s="77">
        <v>129</v>
      </c>
      <c r="B573" s="77" t="s">
        <v>1506</v>
      </c>
      <c r="C573" s="77" t="s">
        <v>1361</v>
      </c>
      <c r="D573" s="77">
        <v>69.966666666666669</v>
      </c>
      <c r="E573" s="77">
        <v>-148.73333333333301</v>
      </c>
      <c r="F573" s="77">
        <v>57</v>
      </c>
      <c r="G573" s="77" t="s">
        <v>460</v>
      </c>
      <c r="H573" s="77" t="s">
        <v>1507</v>
      </c>
      <c r="I573" s="77" t="s">
        <v>451</v>
      </c>
      <c r="J573" s="77" t="s">
        <v>469</v>
      </c>
      <c r="K573" s="77" t="s">
        <v>451</v>
      </c>
      <c r="L573" s="77" t="s">
        <v>470</v>
      </c>
      <c r="M573" s="62" t="str">
        <f t="shared" si="8"/>
        <v>View on Google Map</v>
      </c>
    </row>
    <row r="574" spans="1:13">
      <c r="A574" s="77">
        <v>17</v>
      </c>
      <c r="B574" s="77" t="s">
        <v>1508</v>
      </c>
      <c r="C574" s="77" t="s">
        <v>1509</v>
      </c>
      <c r="D574" s="77" t="s">
        <v>451</v>
      </c>
      <c r="E574" s="77" t="s">
        <v>451</v>
      </c>
      <c r="F574" s="77" t="s">
        <v>451</v>
      </c>
      <c r="G574" s="77" t="s">
        <v>468</v>
      </c>
      <c r="H574" s="77" t="s">
        <v>451</v>
      </c>
      <c r="I574" s="77" t="s">
        <v>451</v>
      </c>
      <c r="J574" s="77" t="s">
        <v>469</v>
      </c>
      <c r="K574" s="77" t="s">
        <v>451</v>
      </c>
      <c r="L574" s="77" t="s">
        <v>451</v>
      </c>
      <c r="M574" s="62" t="str">
        <f t="shared" si="8"/>
        <v>View on Google Map</v>
      </c>
    </row>
    <row r="575" spans="1:13">
      <c r="A575" s="77">
        <v>530</v>
      </c>
      <c r="B575" s="77" t="s">
        <v>1510</v>
      </c>
      <c r="C575" s="77" t="s">
        <v>814</v>
      </c>
      <c r="D575" s="77">
        <v>68.674332000000007</v>
      </c>
      <c r="E575" s="77">
        <v>-149.61694399999999</v>
      </c>
      <c r="F575" s="77">
        <v>701</v>
      </c>
      <c r="G575" s="77" t="s">
        <v>460</v>
      </c>
      <c r="H575" s="77" t="s">
        <v>451</v>
      </c>
      <c r="I575" s="77" t="s">
        <v>451</v>
      </c>
      <c r="J575" s="77" t="s">
        <v>461</v>
      </c>
      <c r="K575" s="77" t="s">
        <v>451</v>
      </c>
      <c r="L575" s="77" t="s">
        <v>815</v>
      </c>
      <c r="M575" s="62" t="str">
        <f t="shared" si="8"/>
        <v>View on Google Map</v>
      </c>
    </row>
    <row r="576" spans="1:13">
      <c r="A576" s="77">
        <v>496</v>
      </c>
      <c r="B576" s="77" t="s">
        <v>1511</v>
      </c>
      <c r="C576" s="77" t="s">
        <v>451</v>
      </c>
      <c r="D576" s="77">
        <v>68.674149999999997</v>
      </c>
      <c r="E576" s="77">
        <v>-149.61810299999999</v>
      </c>
      <c r="F576" s="77">
        <v>701</v>
      </c>
      <c r="G576" s="77" t="s">
        <v>468</v>
      </c>
      <c r="H576" s="77" t="s">
        <v>1512</v>
      </c>
      <c r="I576" s="77" t="s">
        <v>451</v>
      </c>
      <c r="J576" s="77" t="s">
        <v>1214</v>
      </c>
      <c r="K576" s="77" t="s">
        <v>451</v>
      </c>
      <c r="L576" s="77" t="s">
        <v>815</v>
      </c>
      <c r="M576" s="62" t="str">
        <f t="shared" si="8"/>
        <v>View on Google Map</v>
      </c>
    </row>
  </sheetData>
  <conditionalFormatting sqref="B2">
    <cfRule type="cellIs" dxfId="0" priority="1" stopIfTrue="1" operator="equal">
      <formula>"NOT ASSIGNED:"</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Park, Margaret</dc:creator>
  <cp:keywords/>
  <dc:description/>
  <cp:lastModifiedBy>Savannah Kjaer</cp:lastModifiedBy>
  <cp:revision/>
  <dcterms:created xsi:type="dcterms:W3CDTF">2017-08-10T22:13:43Z</dcterms:created>
  <dcterms:modified xsi:type="dcterms:W3CDTF">2023-10-24T17:49:58Z</dcterms:modified>
  <cp:category/>
  <cp:contentStatus/>
</cp:coreProperties>
</file>