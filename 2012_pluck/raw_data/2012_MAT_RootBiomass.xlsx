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02"/>
  <workbookPr defaultThemeVersion="124226"/>
  <xr:revisionPtr revIDLastSave="0" documentId="11_C6811877BB575B9308D44AD06FA2C82F2CA080DF" xr6:coauthVersionLast="47" xr6:coauthVersionMax="47" xr10:uidLastSave="{00000000-0000-0000-0000-000000000000}"/>
  <bookViews>
    <workbookView xWindow="45" yWindow="-75" windowWidth="9090" windowHeight="6810" tabRatio="943" firstSheet="3" activeTab="3" xr2:uid="{00000000-000D-0000-FFFF-FFFF00000000}"/>
  </bookViews>
  <sheets>
    <sheet name="Biomass-MAT CT" sheetId="1" r:id="rId1"/>
    <sheet name="Biomass-MAT F2" sheetId="24" r:id="rId2"/>
    <sheet name="Biomass-MAT F5" sheetId="25" r:id="rId3"/>
    <sheet name="Biomass-MAT F10" sheetId="26" r:id="rId4"/>
    <sheet name="Mystery Bags" sheetId="10" r:id="rId5"/>
  </sheets>
  <definedNames>
    <definedName name="_Order1" hidden="1">255</definedName>
    <definedName name="_Order2" hidden="1">255</definedName>
    <definedName name="_xlnm.Print_Titles" localSheetId="0">'Biomass-MAT CT'!$3:$3</definedName>
    <definedName name="_xlnm.Print_Titles" localSheetId="3">'Biomass-MAT F10'!$3:$3</definedName>
    <definedName name="_xlnm.Print_Titles" localSheetId="1">'Biomass-MAT F2'!$3:$3</definedName>
    <definedName name="_xlnm.Print_Titles" localSheetId="2">'Biomass-MAT F5'!$3:$3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3" i="25" l="1"/>
  <c r="W23" i="25"/>
  <c r="V23" i="25"/>
  <c r="X22" i="25"/>
  <c r="W22" i="25"/>
  <c r="V22" i="25"/>
  <c r="X21" i="25"/>
  <c r="W21" i="25"/>
  <c r="V21" i="25"/>
  <c r="X20" i="25"/>
  <c r="W20" i="25"/>
  <c r="V20" i="25"/>
  <c r="X19" i="25"/>
  <c r="W19" i="25"/>
  <c r="V19" i="25"/>
  <c r="X18" i="25"/>
  <c r="W18" i="25"/>
  <c r="V18" i="25"/>
  <c r="X17" i="25"/>
  <c r="W17" i="25"/>
  <c r="V17" i="25"/>
  <c r="X16" i="25"/>
  <c r="W16" i="25"/>
  <c r="V16" i="25"/>
  <c r="X15" i="25"/>
  <c r="W15" i="25"/>
  <c r="V15" i="25"/>
  <c r="X14" i="25"/>
  <c r="W14" i="25"/>
  <c r="V14" i="25"/>
  <c r="X13" i="25"/>
  <c r="W13" i="25"/>
  <c r="V13" i="25"/>
  <c r="X12" i="25"/>
  <c r="W12" i="25"/>
  <c r="V12" i="25"/>
  <c r="X11" i="25"/>
  <c r="W11" i="25"/>
  <c r="V11" i="25"/>
  <c r="X10" i="25"/>
  <c r="W10" i="25"/>
  <c r="V10" i="25"/>
  <c r="X9" i="25"/>
  <c r="W9" i="25"/>
  <c r="V9" i="25"/>
  <c r="X8" i="25"/>
  <c r="W8" i="25"/>
  <c r="V8" i="25"/>
  <c r="X7" i="25"/>
  <c r="W7" i="25"/>
  <c r="V7" i="25"/>
  <c r="X6" i="25"/>
  <c r="W6" i="25"/>
  <c r="V6" i="25"/>
  <c r="X5" i="25"/>
  <c r="W5" i="25"/>
  <c r="V5" i="25"/>
  <c r="X4" i="25"/>
  <c r="W4" i="25"/>
  <c r="V4" i="25"/>
  <c r="V5" i="24"/>
  <c r="W5" i="24"/>
  <c r="X5" i="24"/>
  <c r="V6" i="24"/>
  <c r="W6" i="24"/>
  <c r="X6" i="24"/>
  <c r="V7" i="24"/>
  <c r="W7" i="24"/>
  <c r="X7" i="24"/>
  <c r="V8" i="24"/>
  <c r="W8" i="24"/>
  <c r="X8" i="24"/>
  <c r="V9" i="24"/>
  <c r="W9" i="24"/>
  <c r="X9" i="24"/>
  <c r="V10" i="24"/>
  <c r="W10" i="24"/>
  <c r="X10" i="24"/>
  <c r="V11" i="24"/>
  <c r="W11" i="24"/>
  <c r="X11" i="24"/>
  <c r="V12" i="24"/>
  <c r="W12" i="24"/>
  <c r="X12" i="24"/>
  <c r="V13" i="24"/>
  <c r="W13" i="24"/>
  <c r="X13" i="24"/>
  <c r="V14" i="24"/>
  <c r="W14" i="24"/>
  <c r="X14" i="24"/>
  <c r="V15" i="24"/>
  <c r="W15" i="24"/>
  <c r="X15" i="24"/>
  <c r="V16" i="24"/>
  <c r="W16" i="24"/>
  <c r="X16" i="24"/>
  <c r="V17" i="24"/>
  <c r="W17" i="24"/>
  <c r="X17" i="24"/>
  <c r="V18" i="24"/>
  <c r="W18" i="24"/>
  <c r="X18" i="24"/>
  <c r="V19" i="24"/>
  <c r="W19" i="24"/>
  <c r="X19" i="24"/>
  <c r="V20" i="24"/>
  <c r="W20" i="24"/>
  <c r="X20" i="24"/>
  <c r="V21" i="24"/>
  <c r="W21" i="24"/>
  <c r="X21" i="24"/>
  <c r="V22" i="24"/>
  <c r="W22" i="24"/>
  <c r="X22" i="24"/>
  <c r="V23" i="24"/>
  <c r="W23" i="24"/>
  <c r="X23" i="24"/>
  <c r="X4" i="24"/>
  <c r="W4" i="24"/>
  <c r="V4" i="24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X4" i="1"/>
  <c r="W4" i="1"/>
  <c r="V4" i="1"/>
  <c r="V5" i="26"/>
  <c r="W5" i="26"/>
  <c r="X5" i="26"/>
  <c r="V6" i="26"/>
  <c r="W6" i="26"/>
  <c r="X6" i="26"/>
  <c r="V7" i="26"/>
  <c r="W7" i="26"/>
  <c r="X7" i="26"/>
  <c r="V8" i="26"/>
  <c r="W8" i="26"/>
  <c r="X8" i="26"/>
  <c r="V9" i="26"/>
  <c r="W9" i="26"/>
  <c r="X9" i="26"/>
  <c r="V10" i="26"/>
  <c r="W10" i="26"/>
  <c r="X10" i="26"/>
  <c r="V11" i="26"/>
  <c r="W11" i="26"/>
  <c r="X11" i="26"/>
  <c r="V12" i="26"/>
  <c r="W12" i="26"/>
  <c r="X12" i="26"/>
  <c r="V13" i="26"/>
  <c r="W13" i="26"/>
  <c r="X13" i="26"/>
  <c r="V14" i="26"/>
  <c r="W14" i="26"/>
  <c r="X14" i="26"/>
  <c r="V15" i="26"/>
  <c r="W15" i="26"/>
  <c r="X15" i="26"/>
  <c r="V16" i="26"/>
  <c r="W16" i="26"/>
  <c r="X16" i="26"/>
  <c r="V17" i="26"/>
  <c r="W17" i="26"/>
  <c r="X17" i="26"/>
  <c r="V18" i="26"/>
  <c r="W18" i="26"/>
  <c r="X18" i="26"/>
  <c r="V19" i="26"/>
  <c r="W19" i="26"/>
  <c r="X19" i="26"/>
  <c r="V20" i="26"/>
  <c r="W20" i="26"/>
  <c r="X20" i="26"/>
  <c r="V21" i="26"/>
  <c r="W21" i="26"/>
  <c r="X21" i="26"/>
  <c r="V22" i="26"/>
  <c r="W22" i="26"/>
  <c r="X22" i="26"/>
  <c r="V23" i="26"/>
  <c r="W23" i="26"/>
  <c r="X23" i="26"/>
  <c r="X4" i="26"/>
  <c r="W4" i="26"/>
  <c r="V4" i="26"/>
  <c r="U23" i="26" l="1"/>
  <c r="T23" i="26"/>
  <c r="S23" i="26"/>
  <c r="U22" i="26"/>
  <c r="T22" i="26"/>
  <c r="S22" i="26"/>
  <c r="U21" i="26"/>
  <c r="T21" i="26"/>
  <c r="S21" i="26"/>
  <c r="U20" i="26"/>
  <c r="T20" i="26"/>
  <c r="S20" i="26"/>
  <c r="U19" i="26"/>
  <c r="T19" i="26"/>
  <c r="S19" i="26"/>
  <c r="U18" i="26"/>
  <c r="T18" i="26"/>
  <c r="S18" i="26"/>
  <c r="U17" i="26"/>
  <c r="T17" i="26"/>
  <c r="S17" i="26"/>
  <c r="U16" i="26"/>
  <c r="T16" i="26"/>
  <c r="S16" i="26"/>
  <c r="U15" i="26"/>
  <c r="T15" i="26"/>
  <c r="S15" i="26"/>
  <c r="U14" i="26"/>
  <c r="T14" i="26"/>
  <c r="S14" i="26"/>
  <c r="U13" i="26"/>
  <c r="T13" i="26"/>
  <c r="S13" i="26"/>
  <c r="U12" i="26"/>
  <c r="T12" i="26"/>
  <c r="S12" i="26"/>
  <c r="U11" i="26"/>
  <c r="T11" i="26"/>
  <c r="S11" i="26"/>
  <c r="U10" i="26"/>
  <c r="T10" i="26"/>
  <c r="S10" i="26"/>
  <c r="U9" i="26"/>
  <c r="T9" i="26"/>
  <c r="S9" i="26"/>
  <c r="U8" i="26"/>
  <c r="T8" i="26"/>
  <c r="S8" i="26"/>
  <c r="U7" i="26"/>
  <c r="T7" i="26"/>
  <c r="S7" i="26"/>
  <c r="U6" i="26"/>
  <c r="T6" i="26"/>
  <c r="S6" i="26"/>
  <c r="U5" i="26"/>
  <c r="T5" i="26"/>
  <c r="S5" i="26"/>
  <c r="U4" i="26"/>
  <c r="T4" i="26"/>
  <c r="S4" i="26"/>
  <c r="U23" i="25"/>
  <c r="T23" i="25"/>
  <c r="S23" i="25"/>
  <c r="U22" i="25"/>
  <c r="T22" i="25"/>
  <c r="S22" i="25"/>
  <c r="U21" i="25"/>
  <c r="T21" i="25"/>
  <c r="S21" i="25"/>
  <c r="U20" i="25"/>
  <c r="T20" i="25"/>
  <c r="S20" i="25"/>
  <c r="U19" i="25"/>
  <c r="T19" i="25"/>
  <c r="S19" i="25"/>
  <c r="U18" i="25"/>
  <c r="T18" i="25"/>
  <c r="S18" i="25"/>
  <c r="U17" i="25"/>
  <c r="T17" i="25"/>
  <c r="S17" i="25"/>
  <c r="U16" i="25"/>
  <c r="T16" i="25"/>
  <c r="S16" i="25"/>
  <c r="U15" i="25"/>
  <c r="T15" i="25"/>
  <c r="S15" i="25"/>
  <c r="U14" i="25"/>
  <c r="T14" i="25"/>
  <c r="S14" i="25"/>
  <c r="U13" i="25"/>
  <c r="T13" i="25"/>
  <c r="S13" i="25"/>
  <c r="U12" i="25"/>
  <c r="T12" i="25"/>
  <c r="S12" i="25"/>
  <c r="U11" i="25"/>
  <c r="T11" i="25"/>
  <c r="S11" i="25"/>
  <c r="U10" i="25"/>
  <c r="T10" i="25"/>
  <c r="S10" i="25"/>
  <c r="U9" i="25"/>
  <c r="T9" i="25"/>
  <c r="S9" i="25"/>
  <c r="U8" i="25"/>
  <c r="T8" i="25"/>
  <c r="S8" i="25"/>
  <c r="U7" i="25"/>
  <c r="T7" i="25"/>
  <c r="S7" i="25"/>
  <c r="U6" i="25"/>
  <c r="T6" i="25"/>
  <c r="S6" i="25"/>
  <c r="U5" i="25"/>
  <c r="T5" i="25"/>
  <c r="S5" i="25"/>
  <c r="U4" i="25"/>
  <c r="T4" i="25"/>
  <c r="S4" i="25"/>
  <c r="U23" i="24"/>
  <c r="T23" i="24"/>
  <c r="S23" i="24"/>
  <c r="U22" i="24"/>
  <c r="T22" i="24"/>
  <c r="S22" i="24"/>
  <c r="U21" i="24"/>
  <c r="T21" i="24"/>
  <c r="S21" i="24"/>
  <c r="U20" i="24"/>
  <c r="T20" i="24"/>
  <c r="S20" i="24"/>
  <c r="U19" i="24"/>
  <c r="T19" i="24"/>
  <c r="S19" i="24"/>
  <c r="U18" i="24"/>
  <c r="T18" i="24"/>
  <c r="S18" i="24"/>
  <c r="U17" i="24"/>
  <c r="T17" i="24"/>
  <c r="S17" i="24"/>
  <c r="U16" i="24"/>
  <c r="T16" i="24"/>
  <c r="S16" i="24"/>
  <c r="U15" i="24"/>
  <c r="T15" i="24"/>
  <c r="S15" i="24"/>
  <c r="U14" i="24"/>
  <c r="T14" i="24"/>
  <c r="S14" i="24"/>
  <c r="U13" i="24"/>
  <c r="T13" i="24"/>
  <c r="S13" i="24"/>
  <c r="U12" i="24"/>
  <c r="T12" i="24"/>
  <c r="S12" i="24"/>
  <c r="U11" i="24"/>
  <c r="T11" i="24"/>
  <c r="S11" i="24"/>
  <c r="U10" i="24"/>
  <c r="T10" i="24"/>
  <c r="S10" i="24"/>
  <c r="U9" i="24"/>
  <c r="T9" i="24"/>
  <c r="S9" i="24"/>
  <c r="U8" i="24"/>
  <c r="T8" i="24"/>
  <c r="S8" i="24"/>
  <c r="U7" i="24"/>
  <c r="T7" i="24"/>
  <c r="S7" i="24"/>
  <c r="U6" i="24"/>
  <c r="T6" i="24"/>
  <c r="S6" i="24"/>
  <c r="U5" i="24"/>
  <c r="T5" i="24"/>
  <c r="S5" i="24"/>
  <c r="U4" i="24"/>
  <c r="T4" i="24"/>
  <c r="S4" i="24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</calcChain>
</file>

<file path=xl/sharedStrings.xml><?xml version="1.0" encoding="utf-8"?>
<sst xmlns="http://schemas.openxmlformats.org/spreadsheetml/2006/main" count="255" uniqueCount="46">
  <si>
    <t>Biomass Dry Weights</t>
  </si>
  <si>
    <t>Values in columns D - Q are in g/quadrat</t>
  </si>
  <si>
    <t>means no soil layer present</t>
  </si>
  <si>
    <t>CT</t>
  </si>
  <si>
    <t>Moist Acidic Tussock Biomass 2006 plots; 25-30 July 2012</t>
  </si>
  <si>
    <t>CONTROL</t>
  </si>
  <si>
    <t>Soil Layer</t>
  </si>
  <si>
    <t>Species</t>
  </si>
  <si>
    <t>Root size</t>
  </si>
  <si>
    <t>B1Q1</t>
  </si>
  <si>
    <t>B1Q2</t>
  </si>
  <si>
    <t>B1Q3</t>
  </si>
  <si>
    <t>B1Q4</t>
  </si>
  <si>
    <t>B1Q5</t>
  </si>
  <si>
    <t>B2Q1</t>
  </si>
  <si>
    <t>B2Q2</t>
  </si>
  <si>
    <t>B2Q3</t>
  </si>
  <si>
    <t>B2Q4</t>
  </si>
  <si>
    <t>B2Q5</t>
  </si>
  <si>
    <t>B3Q1</t>
  </si>
  <si>
    <t>B3Q2</t>
  </si>
  <si>
    <t>B3Q3</t>
  </si>
  <si>
    <t>B3Q4</t>
  </si>
  <si>
    <t>B3Q5</t>
  </si>
  <si>
    <t>Average</t>
  </si>
  <si>
    <t>Std. Err.</t>
  </si>
  <si>
    <t>Count</t>
  </si>
  <si>
    <t>Sum Block 1</t>
  </si>
  <si>
    <t>Sum Block 2</t>
  </si>
  <si>
    <t>Sum Block 3</t>
  </si>
  <si>
    <t>Organic</t>
  </si>
  <si>
    <t>Eriophorum vaginatum</t>
  </si>
  <si>
    <t>Coarse (&gt;2mm)</t>
  </si>
  <si>
    <t>Fine (&lt;2mm)</t>
  </si>
  <si>
    <t>Carex bigelowii</t>
  </si>
  <si>
    <t>Other Graminoids</t>
  </si>
  <si>
    <t>Other Roots</t>
  </si>
  <si>
    <t>Transition</t>
  </si>
  <si>
    <t>Mineral</t>
  </si>
  <si>
    <t>F2</t>
  </si>
  <si>
    <t>Root Size</t>
  </si>
  <si>
    <t>F5</t>
  </si>
  <si>
    <t>F10</t>
  </si>
  <si>
    <t>Bag #</t>
  </si>
  <si>
    <t>Contents Description</t>
  </si>
  <si>
    <t>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</si>
</sst>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General_)"/>
  </numFmts>
  <fonts count="8">
    <font>
      <sz val="10"/>
      <name val="Arial"/>
    </font>
    <font>
      <sz val="10"/>
      <name val="Courier"/>
    </font>
    <font>
      <sz val="8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/>
    <xf numFmtId="164" fontId="5" fillId="0" borderId="0" xfId="0" applyNumberFormat="1" applyFont="1"/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wrapText="1"/>
    </xf>
    <xf numFmtId="164" fontId="2" fillId="0" borderId="0" xfId="0" applyNumberFormat="1" applyFont="1" applyProtection="1">
      <protection locked="0"/>
    </xf>
    <xf numFmtId="164" fontId="2" fillId="0" borderId="0" xfId="1" applyNumberFormat="1" applyFont="1"/>
    <xf numFmtId="0" fontId="2" fillId="0" borderId="1" xfId="0" applyFont="1" applyBorder="1"/>
    <xf numFmtId="164" fontId="2" fillId="0" borderId="1" xfId="0" applyNumberFormat="1" applyFont="1" applyBorder="1" applyProtection="1">
      <protection locked="0"/>
    </xf>
    <xf numFmtId="164" fontId="2" fillId="0" borderId="1" xfId="1" applyNumberFormat="1" applyFont="1" applyBorder="1"/>
    <xf numFmtId="164" fontId="2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 applyProtection="1">
      <protection locked="0"/>
    </xf>
    <xf numFmtId="0" fontId="2" fillId="0" borderId="0" xfId="0" applyFont="1" applyAlignment="1">
      <alignment vertical="top"/>
    </xf>
    <xf numFmtId="164" fontId="2" fillId="0" borderId="0" xfId="0" applyNumberFormat="1" applyFont="1" applyAlignment="1" applyProtection="1">
      <alignment vertical="top"/>
      <protection locked="0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164" fontId="2" fillId="2" borderId="0" xfId="0" applyNumberFormat="1" applyFont="1" applyFill="1" applyProtection="1">
      <protection locked="0"/>
    </xf>
    <xf numFmtId="0" fontId="2" fillId="2" borderId="0" xfId="0" applyFont="1" applyFill="1"/>
    <xf numFmtId="164" fontId="2" fillId="2" borderId="0" xfId="0" applyNumberFormat="1" applyFont="1" applyFill="1"/>
  </cellXfs>
  <cellStyles count="2">
    <cellStyle name="Normal" xfId="0" builtinId="0"/>
    <cellStyle name="Normal_Documentation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124"/>
  <sheetViews>
    <sheetView workbookViewId="0">
      <pane xSplit="3" ySplit="3" topLeftCell="I4" activePane="bottomRight" state="frozenSplit"/>
      <selection pane="bottomRight" activeCell="V3" sqref="V3:X4"/>
      <selection pane="bottomLeft" activeCell="A3" sqref="A3"/>
      <selection pane="topRight" activeCell="D1" sqref="D1"/>
    </sheetView>
  </sheetViews>
  <sheetFormatPr defaultColWidth="9.28515625" defaultRowHeight="11.25"/>
  <cols>
    <col min="1" max="1" width="12.140625" style="7" customWidth="1"/>
    <col min="2" max="2" width="18" style="28" bestFit="1" customWidth="1"/>
    <col min="3" max="3" width="12.140625" style="7" customWidth="1"/>
    <col min="4" max="12" width="6.7109375" style="9" customWidth="1"/>
    <col min="13" max="13" width="6.140625" style="9" customWidth="1"/>
    <col min="14" max="18" width="6.7109375" style="9" customWidth="1"/>
    <col min="19" max="23" width="9.28515625" style="9" customWidth="1"/>
    <col min="24" max="16384" width="9.28515625" style="7"/>
  </cols>
  <sheetData>
    <row r="1" spans="1:28">
      <c r="B1" s="25" t="s">
        <v>0</v>
      </c>
      <c r="D1" s="8" t="s">
        <v>1</v>
      </c>
      <c r="I1" s="34"/>
      <c r="J1" s="9" t="s">
        <v>2</v>
      </c>
    </row>
    <row r="2" spans="1:28" ht="33.75">
      <c r="A2" s="7" t="s">
        <v>3</v>
      </c>
      <c r="B2" s="26" t="s">
        <v>4</v>
      </c>
      <c r="C2" s="10" t="s">
        <v>5</v>
      </c>
    </row>
    <row r="3" spans="1:28" s="11" customFormat="1" ht="22.5">
      <c r="A3" s="11" t="s">
        <v>6</v>
      </c>
      <c r="B3" s="27" t="s">
        <v>7</v>
      </c>
      <c r="C3" s="11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15</v>
      </c>
      <c r="K3" s="12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2" t="s">
        <v>24</v>
      </c>
      <c r="T3" s="12" t="s">
        <v>25</v>
      </c>
      <c r="U3" s="12" t="s">
        <v>26</v>
      </c>
      <c r="V3" s="13" t="s">
        <v>27</v>
      </c>
      <c r="W3" s="13" t="s">
        <v>28</v>
      </c>
      <c r="X3" s="11" t="s">
        <v>29</v>
      </c>
    </row>
    <row r="4" spans="1:28">
      <c r="A4" s="7" t="s">
        <v>30</v>
      </c>
      <c r="B4" s="28" t="s">
        <v>31</v>
      </c>
      <c r="C4" s="7" t="s">
        <v>32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 t="e">
        <f>AVERAGE(AVERAGE(D4:H4),AVERAGE(I4:M4),AVERAGE(N4:R4))</f>
        <v>#DIV/0!</v>
      </c>
      <c r="T4" s="9" t="e">
        <f>STDEV(AVERAGE(D4:H4),AVERAGE(I4:M4),AVERAGE(N4:R4))/SQRT(3)</f>
        <v>#DIV/0!</v>
      </c>
      <c r="U4" s="9">
        <f>COUNT(D4:R4)</f>
        <v>0</v>
      </c>
      <c r="V4" s="9">
        <f>SUM(D4:H4)</f>
        <v>0</v>
      </c>
      <c r="W4" s="9">
        <f>SUM(I4:M4)</f>
        <v>0</v>
      </c>
      <c r="X4" s="9">
        <f>SUM(N4:R4)</f>
        <v>0</v>
      </c>
      <c r="Y4" s="9"/>
      <c r="Z4" s="9"/>
      <c r="AA4" s="9"/>
      <c r="AB4" s="9"/>
    </row>
    <row r="5" spans="1:28">
      <c r="C5" s="7" t="s">
        <v>33</v>
      </c>
      <c r="D5" s="14">
        <v>6.0000000000000001E-3</v>
      </c>
      <c r="E5" s="14"/>
      <c r="F5" s="14">
        <v>0.23699999999999999</v>
      </c>
      <c r="G5" s="14">
        <v>3.0000000000000001E-3</v>
      </c>
      <c r="H5" s="14">
        <v>2.1000000000000001E-2</v>
      </c>
      <c r="I5" s="14"/>
      <c r="J5" s="14">
        <v>0.183</v>
      </c>
      <c r="K5" s="14">
        <v>1E-3</v>
      </c>
      <c r="L5" s="14"/>
      <c r="M5" s="14"/>
      <c r="N5" s="14"/>
      <c r="O5" s="14">
        <v>2E-3</v>
      </c>
      <c r="P5" s="14">
        <v>1.6E-2</v>
      </c>
      <c r="Q5" s="14"/>
      <c r="R5" s="14"/>
      <c r="S5" s="9">
        <f t="shared" ref="S5:S23" si="0">AVERAGE(AVERAGE(D5:H5),AVERAGE(I5:M5),AVERAGE(N5:R5))</f>
        <v>5.591666666666667E-2</v>
      </c>
      <c r="T5" s="9">
        <f t="shared" ref="T5:T23" si="1">STDEV(AVERAGE(D5:H5),AVERAGE(I5:M5),AVERAGE(N5:R5))/SQRT(3)</f>
        <v>2.4564682190313613E-2</v>
      </c>
      <c r="U5" s="9">
        <f t="shared" ref="U5:U23" si="2">COUNT(D5:R5)</f>
        <v>8</v>
      </c>
      <c r="V5" s="9">
        <f t="shared" ref="V5:V23" si="3">SUM(D5:H5)</f>
        <v>0.26700000000000002</v>
      </c>
      <c r="W5" s="9">
        <f t="shared" ref="W5:W23" si="4">SUM(I5:M5)</f>
        <v>0.184</v>
      </c>
      <c r="X5" s="9">
        <f t="shared" ref="X5:X23" si="5">SUM(N5:R5)</f>
        <v>1.8000000000000002E-2</v>
      </c>
      <c r="Y5" s="9"/>
      <c r="Z5" s="9"/>
      <c r="AA5" s="9"/>
      <c r="AB5" s="9"/>
    </row>
    <row r="6" spans="1:28">
      <c r="B6" s="28" t="s">
        <v>34</v>
      </c>
      <c r="C6" s="7" t="s">
        <v>32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>
        <v>3.6999999999999998E-2</v>
      </c>
      <c r="O6" s="14"/>
      <c r="P6" s="14"/>
      <c r="Q6" s="14"/>
      <c r="R6" s="14"/>
      <c r="S6" s="9" t="e">
        <f t="shared" si="0"/>
        <v>#DIV/0!</v>
      </c>
      <c r="T6" s="9" t="e">
        <f t="shared" si="1"/>
        <v>#DIV/0!</v>
      </c>
      <c r="U6" s="9">
        <f t="shared" si="2"/>
        <v>1</v>
      </c>
      <c r="V6" s="9">
        <f t="shared" si="3"/>
        <v>0</v>
      </c>
      <c r="W6" s="9">
        <f t="shared" si="4"/>
        <v>0</v>
      </c>
      <c r="X6" s="9">
        <f t="shared" si="5"/>
        <v>3.6999999999999998E-2</v>
      </c>
      <c r="Y6" s="9"/>
      <c r="Z6" s="9"/>
      <c r="AA6" s="9"/>
      <c r="AB6" s="9"/>
    </row>
    <row r="7" spans="1:28">
      <c r="C7" s="7" t="s">
        <v>33</v>
      </c>
      <c r="D7" s="15"/>
      <c r="E7" s="15">
        <v>0.71799999999999997</v>
      </c>
      <c r="F7" s="15">
        <v>2.8000000000000001E-2</v>
      </c>
      <c r="G7" s="14">
        <v>3.7999999999999999E-2</v>
      </c>
      <c r="H7" s="15"/>
      <c r="I7" s="15">
        <v>5.2999999999999999E-2</v>
      </c>
      <c r="J7" s="14"/>
      <c r="K7" s="15">
        <v>3.6999999999999998E-2</v>
      </c>
      <c r="L7" s="14"/>
      <c r="M7" s="15">
        <v>0.33600000000000002</v>
      </c>
      <c r="N7" s="14">
        <v>0.42899999999999999</v>
      </c>
      <c r="O7" s="15">
        <v>0.02</v>
      </c>
      <c r="P7" s="15"/>
      <c r="Q7" s="15">
        <v>6.6000000000000003E-2</v>
      </c>
      <c r="R7" s="15"/>
      <c r="S7" s="9">
        <f t="shared" si="0"/>
        <v>0.19166666666666668</v>
      </c>
      <c r="T7" s="9">
        <f t="shared" si="1"/>
        <v>3.5870652401422842E-2</v>
      </c>
      <c r="U7" s="9">
        <f t="shared" si="2"/>
        <v>9</v>
      </c>
      <c r="V7" s="9">
        <f t="shared" si="3"/>
        <v>0.78400000000000003</v>
      </c>
      <c r="W7" s="9">
        <f t="shared" si="4"/>
        <v>0.42600000000000005</v>
      </c>
      <c r="X7" s="9">
        <f t="shared" si="5"/>
        <v>0.51500000000000001</v>
      </c>
      <c r="Y7" s="9"/>
      <c r="Z7" s="9"/>
      <c r="AA7" s="9"/>
      <c r="AB7" s="9"/>
    </row>
    <row r="8" spans="1:28">
      <c r="B8" s="28" t="s">
        <v>35</v>
      </c>
      <c r="C8" s="7" t="s">
        <v>32</v>
      </c>
      <c r="D8" s="15"/>
      <c r="E8" s="15"/>
      <c r="F8" s="15"/>
      <c r="G8" s="14"/>
      <c r="H8" s="15"/>
      <c r="I8" s="15"/>
      <c r="J8" s="14"/>
      <c r="K8" s="15"/>
      <c r="L8" s="14"/>
      <c r="M8" s="15"/>
      <c r="N8" s="14"/>
      <c r="O8" s="15"/>
      <c r="P8" s="15"/>
      <c r="Q8" s="15"/>
      <c r="R8" s="15"/>
      <c r="S8" s="9" t="e">
        <f t="shared" si="0"/>
        <v>#DIV/0!</v>
      </c>
      <c r="T8" s="9" t="e">
        <f t="shared" si="1"/>
        <v>#DIV/0!</v>
      </c>
      <c r="U8" s="9">
        <f t="shared" si="2"/>
        <v>0</v>
      </c>
      <c r="V8" s="9">
        <f t="shared" si="3"/>
        <v>0</v>
      </c>
      <c r="W8" s="9">
        <f t="shared" si="4"/>
        <v>0</v>
      </c>
      <c r="X8" s="9">
        <f t="shared" si="5"/>
        <v>0</v>
      </c>
      <c r="Y8" s="9"/>
      <c r="Z8" s="9"/>
      <c r="AA8" s="9"/>
      <c r="AB8" s="9"/>
    </row>
    <row r="9" spans="1:28">
      <c r="C9" s="7" t="s">
        <v>33</v>
      </c>
      <c r="D9" s="15"/>
      <c r="E9" s="15"/>
      <c r="F9" s="15"/>
      <c r="G9" s="14"/>
      <c r="H9" s="15"/>
      <c r="I9" s="15"/>
      <c r="J9" s="14"/>
      <c r="K9" s="15">
        <v>3.9E-2</v>
      </c>
      <c r="L9" s="14">
        <v>2.4E-2</v>
      </c>
      <c r="M9" s="15"/>
      <c r="N9" s="14"/>
      <c r="O9" s="15"/>
      <c r="P9" s="15"/>
      <c r="Q9" s="15"/>
      <c r="R9" s="15"/>
      <c r="S9" s="9" t="e">
        <f t="shared" si="0"/>
        <v>#DIV/0!</v>
      </c>
      <c r="T9" s="9" t="e">
        <f t="shared" si="1"/>
        <v>#DIV/0!</v>
      </c>
      <c r="U9" s="9">
        <f t="shared" si="2"/>
        <v>2</v>
      </c>
      <c r="V9" s="9">
        <f t="shared" si="3"/>
        <v>0</v>
      </c>
      <c r="W9" s="9">
        <f t="shared" si="4"/>
        <v>6.3E-2</v>
      </c>
      <c r="X9" s="9">
        <f t="shared" si="5"/>
        <v>0</v>
      </c>
      <c r="Y9" s="9"/>
      <c r="Z9" s="9"/>
      <c r="AA9" s="9"/>
      <c r="AB9" s="9"/>
    </row>
    <row r="10" spans="1:28">
      <c r="B10" s="28" t="s">
        <v>36</v>
      </c>
      <c r="C10" s="7" t="s">
        <v>32</v>
      </c>
      <c r="D10" s="14"/>
      <c r="E10" s="14"/>
      <c r="F10" s="14"/>
      <c r="G10" s="14">
        <v>0.41699999999999998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9" t="e">
        <f t="shared" si="0"/>
        <v>#DIV/0!</v>
      </c>
      <c r="T10" s="9" t="e">
        <f t="shared" si="1"/>
        <v>#DIV/0!</v>
      </c>
      <c r="U10" s="9">
        <f t="shared" si="2"/>
        <v>1</v>
      </c>
      <c r="V10" s="9">
        <f t="shared" si="3"/>
        <v>0.41699999999999998</v>
      </c>
      <c r="W10" s="9">
        <f t="shared" si="4"/>
        <v>0</v>
      </c>
      <c r="X10" s="9">
        <f t="shared" si="5"/>
        <v>0</v>
      </c>
      <c r="Y10" s="9"/>
      <c r="Z10" s="9"/>
      <c r="AA10" s="9"/>
      <c r="AB10" s="9"/>
    </row>
    <row r="11" spans="1:28">
      <c r="C11" s="7" t="s">
        <v>33</v>
      </c>
      <c r="D11" s="14">
        <v>0.20799999999999999</v>
      </c>
      <c r="E11" s="14">
        <v>2.5009999999999999</v>
      </c>
      <c r="F11" s="14">
        <v>0.12</v>
      </c>
      <c r="G11" s="14">
        <v>2.0299999999999998</v>
      </c>
      <c r="H11" s="14">
        <v>0.68700000000000006</v>
      </c>
      <c r="I11" s="14">
        <v>1.2529999999999999</v>
      </c>
      <c r="J11" s="14">
        <v>0.16900000000000001</v>
      </c>
      <c r="K11" s="14">
        <v>1.3049999999999999</v>
      </c>
      <c r="L11" s="14">
        <v>2.383</v>
      </c>
      <c r="M11" s="14">
        <v>0.23300000000000001</v>
      </c>
      <c r="N11" s="14">
        <v>0.436</v>
      </c>
      <c r="O11" s="14">
        <v>0.48099999999999998</v>
      </c>
      <c r="P11" s="14">
        <v>0.36099999999999999</v>
      </c>
      <c r="Q11" s="14">
        <v>0.20799999999999999</v>
      </c>
      <c r="R11" s="14">
        <v>0.65</v>
      </c>
      <c r="S11" s="9">
        <f t="shared" si="0"/>
        <v>0.86833333333333318</v>
      </c>
      <c r="T11" s="9">
        <f t="shared" si="1"/>
        <v>0.22087783450988868</v>
      </c>
      <c r="U11" s="9">
        <f t="shared" si="2"/>
        <v>15</v>
      </c>
      <c r="V11" s="9">
        <f t="shared" si="3"/>
        <v>5.5460000000000003</v>
      </c>
      <c r="W11" s="9">
        <f t="shared" si="4"/>
        <v>5.3429999999999991</v>
      </c>
      <c r="X11" s="9">
        <f t="shared" si="5"/>
        <v>2.1360000000000001</v>
      </c>
      <c r="Y11" s="9"/>
      <c r="Z11" s="9"/>
      <c r="AA11" s="9"/>
      <c r="AB11" s="9"/>
    </row>
    <row r="12" spans="1:28">
      <c r="A12" s="7" t="s">
        <v>37</v>
      </c>
      <c r="B12" s="28" t="s">
        <v>31</v>
      </c>
      <c r="C12" s="7" t="s">
        <v>32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9" t="e">
        <f t="shared" si="0"/>
        <v>#DIV/0!</v>
      </c>
      <c r="T12" s="9" t="e">
        <f t="shared" si="1"/>
        <v>#DIV/0!</v>
      </c>
      <c r="U12" s="9">
        <f t="shared" si="2"/>
        <v>0</v>
      </c>
      <c r="V12" s="9">
        <f t="shared" si="3"/>
        <v>0</v>
      </c>
      <c r="W12" s="9">
        <f t="shared" si="4"/>
        <v>0</v>
      </c>
      <c r="X12" s="9">
        <f t="shared" si="5"/>
        <v>0</v>
      </c>
      <c r="Y12" s="9"/>
      <c r="Z12" s="9"/>
      <c r="AA12" s="9"/>
      <c r="AB12" s="9"/>
    </row>
    <row r="13" spans="1:28">
      <c r="C13" s="7" t="s">
        <v>33</v>
      </c>
      <c r="D13" s="14"/>
      <c r="E13" s="14">
        <v>1.4999999999999999E-2</v>
      </c>
      <c r="F13" s="14"/>
      <c r="G13" s="14"/>
      <c r="H13" s="14">
        <v>2.3E-2</v>
      </c>
      <c r="I13" s="14"/>
      <c r="J13" s="15">
        <v>9.5000000000000001E-2</v>
      </c>
      <c r="K13" s="15">
        <v>0.05</v>
      </c>
      <c r="L13" s="14"/>
      <c r="M13" s="14">
        <v>4.0000000000000001E-3</v>
      </c>
      <c r="N13" s="14"/>
      <c r="O13" s="14">
        <v>8.9999999999999993E-3</v>
      </c>
      <c r="P13" s="14"/>
      <c r="Q13" s="14"/>
      <c r="R13" s="14"/>
      <c r="S13" s="9">
        <f t="shared" si="0"/>
        <v>2.5888888888888888E-2</v>
      </c>
      <c r="T13" s="9">
        <f t="shared" si="1"/>
        <v>1.2234337429778497E-2</v>
      </c>
      <c r="U13" s="9">
        <f t="shared" si="2"/>
        <v>6</v>
      </c>
      <c r="V13" s="9">
        <f t="shared" si="3"/>
        <v>3.7999999999999999E-2</v>
      </c>
      <c r="W13" s="9">
        <f t="shared" si="4"/>
        <v>0.14900000000000002</v>
      </c>
      <c r="X13" s="9">
        <f t="shared" si="5"/>
        <v>8.9999999999999993E-3</v>
      </c>
      <c r="Y13" s="9"/>
      <c r="Z13" s="9"/>
      <c r="AA13" s="9"/>
      <c r="AB13" s="9"/>
    </row>
    <row r="14" spans="1:28">
      <c r="B14" s="28" t="s">
        <v>34</v>
      </c>
      <c r="C14" s="7" t="s">
        <v>32</v>
      </c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4"/>
      <c r="R14" s="14"/>
      <c r="S14" s="9" t="e">
        <f t="shared" si="0"/>
        <v>#DIV/0!</v>
      </c>
      <c r="T14" s="9" t="e">
        <f t="shared" si="1"/>
        <v>#DIV/0!</v>
      </c>
      <c r="U14" s="9">
        <f t="shared" si="2"/>
        <v>0</v>
      </c>
      <c r="V14" s="9">
        <f t="shared" si="3"/>
        <v>0</v>
      </c>
      <c r="W14" s="9">
        <f t="shared" si="4"/>
        <v>0</v>
      </c>
      <c r="X14" s="9">
        <f t="shared" si="5"/>
        <v>0</v>
      </c>
      <c r="Y14" s="9"/>
      <c r="Z14" s="9"/>
      <c r="AA14" s="9"/>
      <c r="AB14" s="9"/>
    </row>
    <row r="15" spans="1:28">
      <c r="C15" s="7" t="s">
        <v>33</v>
      </c>
      <c r="D15" s="14">
        <v>8.9999999999999993E-3</v>
      </c>
      <c r="E15" s="14"/>
      <c r="F15" s="14">
        <v>4.1000000000000002E-2</v>
      </c>
      <c r="G15" s="14"/>
      <c r="H15" s="14"/>
      <c r="I15" s="14"/>
      <c r="J15" s="14"/>
      <c r="K15" s="14">
        <v>3.7999999999999999E-2</v>
      </c>
      <c r="L15" s="14"/>
      <c r="M15" s="14">
        <v>1.4E-2</v>
      </c>
      <c r="N15" s="14">
        <v>0.92</v>
      </c>
      <c r="O15" s="14">
        <v>0.109</v>
      </c>
      <c r="P15" s="14"/>
      <c r="Q15" s="14">
        <v>0.307</v>
      </c>
      <c r="R15" s="14">
        <v>0.11700000000000001</v>
      </c>
      <c r="S15" s="9">
        <f t="shared" si="0"/>
        <v>0.13808333333333334</v>
      </c>
      <c r="T15" s="9">
        <f t="shared" si="1"/>
        <v>0.11258370342895004</v>
      </c>
      <c r="U15" s="9">
        <f t="shared" si="2"/>
        <v>8</v>
      </c>
      <c r="V15" s="9">
        <f t="shared" si="3"/>
        <v>0.05</v>
      </c>
      <c r="W15" s="9">
        <f t="shared" si="4"/>
        <v>5.1999999999999998E-2</v>
      </c>
      <c r="X15" s="9">
        <f t="shared" si="5"/>
        <v>1.4530000000000001</v>
      </c>
      <c r="Y15" s="9"/>
      <c r="Z15" s="9"/>
      <c r="AA15" s="9"/>
      <c r="AB15" s="9"/>
    </row>
    <row r="16" spans="1:28">
      <c r="B16" s="28" t="s">
        <v>36</v>
      </c>
      <c r="C16" s="7" t="s">
        <v>32</v>
      </c>
      <c r="D16" s="14">
        <v>0.111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9" t="e">
        <f t="shared" si="0"/>
        <v>#DIV/0!</v>
      </c>
      <c r="T16" s="9" t="e">
        <f t="shared" si="1"/>
        <v>#DIV/0!</v>
      </c>
      <c r="U16" s="9">
        <f t="shared" si="2"/>
        <v>1</v>
      </c>
      <c r="V16" s="9">
        <f t="shared" si="3"/>
        <v>0.111</v>
      </c>
      <c r="W16" s="9">
        <f t="shared" si="4"/>
        <v>0</v>
      </c>
      <c r="X16" s="9">
        <f t="shared" si="5"/>
        <v>0</v>
      </c>
      <c r="Y16" s="9"/>
      <c r="Z16" s="9"/>
      <c r="AA16" s="9"/>
      <c r="AB16" s="9"/>
    </row>
    <row r="17" spans="1:151">
      <c r="C17" s="7" t="s">
        <v>33</v>
      </c>
      <c r="D17" s="14">
        <v>0.71099999999999997</v>
      </c>
      <c r="E17" s="14">
        <v>0.39300000000000002</v>
      </c>
      <c r="F17" s="14">
        <v>0.3</v>
      </c>
      <c r="G17" s="14">
        <v>0.82799999999999996</v>
      </c>
      <c r="H17" s="14">
        <v>0.18</v>
      </c>
      <c r="I17" s="14">
        <v>0.40400000000000003</v>
      </c>
      <c r="J17" s="14">
        <v>0.32900000000000001</v>
      </c>
      <c r="K17" s="14">
        <v>0.81799999999999995</v>
      </c>
      <c r="L17" s="14">
        <v>0.114</v>
      </c>
      <c r="M17" s="14">
        <v>0.55400000000000005</v>
      </c>
      <c r="N17" s="14">
        <v>0.57999999999999996</v>
      </c>
      <c r="O17" s="14">
        <v>0.73199999999999998</v>
      </c>
      <c r="P17" s="14">
        <v>0.373</v>
      </c>
      <c r="Q17" s="14">
        <v>0.61</v>
      </c>
      <c r="R17" s="14">
        <v>0.55700000000000005</v>
      </c>
      <c r="S17" s="9">
        <f t="shared" si="0"/>
        <v>0.49886666666666674</v>
      </c>
      <c r="T17" s="9">
        <f t="shared" si="1"/>
        <v>3.7462218003980592E-2</v>
      </c>
      <c r="U17" s="9">
        <f t="shared" si="2"/>
        <v>15</v>
      </c>
      <c r="V17" s="9">
        <f t="shared" si="3"/>
        <v>2.4120000000000004</v>
      </c>
      <c r="W17" s="9">
        <f t="shared" si="4"/>
        <v>2.2190000000000003</v>
      </c>
      <c r="X17" s="9">
        <f t="shared" si="5"/>
        <v>2.8519999999999999</v>
      </c>
      <c r="Y17" s="9"/>
      <c r="Z17" s="9"/>
      <c r="AA17" s="9"/>
      <c r="AB17" s="9"/>
    </row>
    <row r="18" spans="1:151">
      <c r="A18" s="7" t="s">
        <v>38</v>
      </c>
      <c r="B18" s="28" t="s">
        <v>31</v>
      </c>
      <c r="C18" s="7" t="s">
        <v>32</v>
      </c>
      <c r="D18" s="14"/>
      <c r="E18" s="14"/>
      <c r="F18" s="14"/>
      <c r="G18" s="32"/>
      <c r="H18" s="14"/>
      <c r="I18" s="14"/>
      <c r="J18" s="32"/>
      <c r="K18" s="14"/>
      <c r="L18" s="14"/>
      <c r="M18" s="14"/>
      <c r="N18" s="14"/>
      <c r="O18" s="14"/>
      <c r="P18" s="14"/>
      <c r="Q18" s="14"/>
      <c r="R18" s="14"/>
      <c r="S18" s="9" t="e">
        <f t="shared" si="0"/>
        <v>#DIV/0!</v>
      </c>
      <c r="T18" s="9" t="e">
        <f t="shared" si="1"/>
        <v>#DIV/0!</v>
      </c>
      <c r="U18" s="9">
        <f t="shared" si="2"/>
        <v>0</v>
      </c>
      <c r="V18" s="9">
        <f t="shared" si="3"/>
        <v>0</v>
      </c>
      <c r="W18" s="9">
        <f t="shared" si="4"/>
        <v>0</v>
      </c>
      <c r="X18" s="9">
        <f t="shared" si="5"/>
        <v>0</v>
      </c>
      <c r="Y18" s="9"/>
      <c r="Z18" s="9"/>
      <c r="AA18" s="9"/>
      <c r="AB18" s="9"/>
    </row>
    <row r="19" spans="1:151">
      <c r="C19" s="7" t="s">
        <v>33</v>
      </c>
      <c r="D19" s="14">
        <v>1.7000000000000001E-2</v>
      </c>
      <c r="E19" s="14"/>
      <c r="F19" s="14"/>
      <c r="G19" s="32"/>
      <c r="H19" s="14">
        <v>3.5000000000000003E-2</v>
      </c>
      <c r="I19" s="14"/>
      <c r="J19" s="32"/>
      <c r="K19" s="14">
        <v>0.18</v>
      </c>
      <c r="L19" s="14"/>
      <c r="M19" s="14">
        <v>5.2999999999999999E-2</v>
      </c>
      <c r="N19" s="14">
        <v>3.0000000000000001E-3</v>
      </c>
      <c r="O19" s="14">
        <v>4.2000000000000003E-2</v>
      </c>
      <c r="P19" s="14">
        <v>4.2999999999999997E-2</v>
      </c>
      <c r="Q19" s="14"/>
      <c r="R19" s="14">
        <v>4.0000000000000001E-3</v>
      </c>
      <c r="S19" s="9">
        <f t="shared" si="0"/>
        <v>5.5166666666666662E-2</v>
      </c>
      <c r="T19" s="9">
        <f t="shared" si="1"/>
        <v>3.0678892490512828E-2</v>
      </c>
      <c r="U19" s="9">
        <f t="shared" si="2"/>
        <v>8</v>
      </c>
      <c r="V19" s="9">
        <f t="shared" si="3"/>
        <v>5.2000000000000005E-2</v>
      </c>
      <c r="W19" s="9">
        <f t="shared" si="4"/>
        <v>0.23299999999999998</v>
      </c>
      <c r="X19" s="9">
        <f t="shared" si="5"/>
        <v>9.1999999999999998E-2</v>
      </c>
      <c r="Y19" s="9"/>
      <c r="Z19" s="9"/>
      <c r="AA19" s="9"/>
      <c r="AB19" s="9"/>
    </row>
    <row r="20" spans="1:151" s="16" customFormat="1">
      <c r="A20" s="7"/>
      <c r="B20" s="28" t="s">
        <v>34</v>
      </c>
      <c r="C20" s="7" t="s">
        <v>32</v>
      </c>
      <c r="D20" s="14"/>
      <c r="E20" s="14"/>
      <c r="F20" s="14"/>
      <c r="G20" s="32"/>
      <c r="H20" s="14"/>
      <c r="I20" s="14"/>
      <c r="J20" s="32"/>
      <c r="K20" s="14"/>
      <c r="L20" s="14"/>
      <c r="M20" s="14"/>
      <c r="N20" s="14"/>
      <c r="O20" s="14"/>
      <c r="P20" s="14"/>
      <c r="Q20" s="14"/>
      <c r="R20" s="14"/>
      <c r="S20" s="9" t="e">
        <f t="shared" si="0"/>
        <v>#DIV/0!</v>
      </c>
      <c r="T20" s="9" t="e">
        <f t="shared" si="1"/>
        <v>#DIV/0!</v>
      </c>
      <c r="U20" s="9">
        <f t="shared" si="2"/>
        <v>0</v>
      </c>
      <c r="V20" s="9">
        <f t="shared" si="3"/>
        <v>0</v>
      </c>
      <c r="W20" s="9">
        <f t="shared" si="4"/>
        <v>0</v>
      </c>
      <c r="X20" s="9">
        <f t="shared" si="5"/>
        <v>0</v>
      </c>
      <c r="Y20" s="19"/>
      <c r="Z20" s="19"/>
      <c r="AA20" s="19"/>
      <c r="AB20" s="19"/>
    </row>
    <row r="21" spans="1:151">
      <c r="C21" s="7" t="s">
        <v>33</v>
      </c>
      <c r="D21" s="14"/>
      <c r="E21" s="14"/>
      <c r="F21" s="14">
        <v>1.4E-2</v>
      </c>
      <c r="G21" s="32"/>
      <c r="H21" s="14"/>
      <c r="I21" s="14">
        <v>9.0999999999999998E-2</v>
      </c>
      <c r="J21" s="32"/>
      <c r="K21" s="14"/>
      <c r="L21" s="14"/>
      <c r="M21" s="14"/>
      <c r="N21" s="14"/>
      <c r="O21" s="14"/>
      <c r="P21" s="14"/>
      <c r="Q21" s="14"/>
      <c r="R21" s="14">
        <v>7.6999999999999999E-2</v>
      </c>
      <c r="S21" s="9">
        <f t="shared" si="0"/>
        <v>6.0666666666666667E-2</v>
      </c>
      <c r="T21" s="9">
        <f t="shared" si="1"/>
        <v>2.3680746985215183E-2</v>
      </c>
      <c r="U21" s="9">
        <f t="shared" si="2"/>
        <v>3</v>
      </c>
      <c r="V21" s="9">
        <f t="shared" si="3"/>
        <v>1.4E-2</v>
      </c>
      <c r="W21" s="9">
        <f t="shared" si="4"/>
        <v>9.0999999999999998E-2</v>
      </c>
      <c r="X21" s="9">
        <f t="shared" si="5"/>
        <v>7.6999999999999999E-2</v>
      </c>
      <c r="Y21" s="9"/>
      <c r="Z21" s="9"/>
      <c r="AA21" s="9"/>
      <c r="AB21" s="9"/>
    </row>
    <row r="22" spans="1:151">
      <c r="B22" s="28" t="s">
        <v>36</v>
      </c>
      <c r="C22" s="7" t="s">
        <v>32</v>
      </c>
      <c r="D22" s="14"/>
      <c r="E22" s="14"/>
      <c r="F22" s="14"/>
      <c r="G22" s="32"/>
      <c r="H22" s="14"/>
      <c r="I22" s="14"/>
      <c r="J22" s="32"/>
      <c r="K22" s="14"/>
      <c r="L22" s="14"/>
      <c r="M22" s="14"/>
      <c r="N22" s="14"/>
      <c r="O22" s="14"/>
      <c r="P22" s="14"/>
      <c r="Q22" s="14"/>
      <c r="R22" s="14"/>
      <c r="S22" s="9" t="e">
        <f t="shared" si="0"/>
        <v>#DIV/0!</v>
      </c>
      <c r="T22" s="9" t="e">
        <f t="shared" si="1"/>
        <v>#DIV/0!</v>
      </c>
      <c r="U22" s="9">
        <f t="shared" si="2"/>
        <v>0</v>
      </c>
      <c r="V22" s="9">
        <f t="shared" si="3"/>
        <v>0</v>
      </c>
      <c r="W22" s="9">
        <f t="shared" si="4"/>
        <v>0</v>
      </c>
      <c r="X22" s="9">
        <f t="shared" si="5"/>
        <v>0</v>
      </c>
      <c r="Y22" s="9"/>
      <c r="Z22" s="9"/>
      <c r="AA22" s="9"/>
      <c r="AB22" s="9"/>
    </row>
    <row r="23" spans="1:151">
      <c r="C23" s="7" t="s">
        <v>33</v>
      </c>
      <c r="D23" s="14">
        <v>0.73399999999999999</v>
      </c>
      <c r="E23" s="14">
        <v>0.16400000000000001</v>
      </c>
      <c r="F23" s="14">
        <v>0.81499999999999995</v>
      </c>
      <c r="G23" s="32"/>
      <c r="H23" s="14">
        <v>8.2000000000000003E-2</v>
      </c>
      <c r="I23" s="14">
        <v>1.5169999999999999</v>
      </c>
      <c r="J23" s="32"/>
      <c r="K23" s="14">
        <v>0.13200000000000001</v>
      </c>
      <c r="L23" s="14">
        <v>7.5999999999999998E-2</v>
      </c>
      <c r="M23" s="14">
        <v>0.31</v>
      </c>
      <c r="N23" s="14">
        <v>0.46</v>
      </c>
      <c r="O23" s="14">
        <v>0.96299999999999997</v>
      </c>
      <c r="P23" s="14">
        <v>0.114</v>
      </c>
      <c r="Q23" s="14">
        <v>1.629</v>
      </c>
      <c r="R23" s="14">
        <v>0.35099999999999998</v>
      </c>
      <c r="S23" s="9">
        <f t="shared" si="0"/>
        <v>0.55363333333333331</v>
      </c>
      <c r="T23" s="9">
        <f t="shared" si="1"/>
        <v>7.6860351359534645E-2</v>
      </c>
      <c r="U23" s="9">
        <f t="shared" si="2"/>
        <v>13</v>
      </c>
      <c r="V23" s="9">
        <f t="shared" si="3"/>
        <v>1.7950000000000002</v>
      </c>
      <c r="W23" s="9">
        <f t="shared" si="4"/>
        <v>2.0350000000000001</v>
      </c>
      <c r="X23" s="9">
        <f t="shared" si="5"/>
        <v>3.5170000000000003</v>
      </c>
      <c r="Y23" s="9"/>
      <c r="Z23" s="9"/>
      <c r="AA23" s="9"/>
      <c r="AB23" s="9"/>
    </row>
    <row r="25" spans="1:151"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</row>
    <row r="26" spans="1:151"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</row>
    <row r="27" spans="1:151"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</row>
    <row r="28" spans="1:151"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</row>
    <row r="29" spans="1:151"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</row>
    <row r="30" spans="1:151"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</row>
    <row r="31" spans="1:151"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</row>
    <row r="32" spans="1:151"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</row>
    <row r="33" spans="24:151"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</row>
    <row r="34" spans="24:151"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</row>
    <row r="35" spans="24:151"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</row>
    <row r="36" spans="24:151"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</row>
    <row r="37" spans="24:151"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</row>
    <row r="38" spans="24:151"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</row>
    <row r="39" spans="24:151"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</row>
    <row r="40" spans="24:151"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</row>
    <row r="41" spans="24:151"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</row>
    <row r="42" spans="24:151"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</row>
    <row r="43" spans="24:151"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</row>
    <row r="44" spans="24:151"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</row>
    <row r="45" spans="24:151"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</row>
    <row r="46" spans="24:151"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</row>
    <row r="47" spans="24:151"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</row>
    <row r="48" spans="24:151"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</row>
    <row r="49" spans="24:151"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</row>
    <row r="50" spans="24:151"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</row>
    <row r="51" spans="24:151"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</row>
    <row r="52" spans="24:151"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</row>
    <row r="53" spans="24:151"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</row>
    <row r="54" spans="24:151"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</row>
    <row r="55" spans="24:151"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</row>
    <row r="56" spans="24:151"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</row>
    <row r="57" spans="24:151"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</row>
    <row r="58" spans="24:151"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</row>
    <row r="59" spans="24:151"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</row>
    <row r="60" spans="24:151"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</row>
    <row r="61" spans="24:151"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</row>
    <row r="62" spans="24:151"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</row>
    <row r="63" spans="24:151"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</row>
    <row r="64" spans="24:151"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</row>
    <row r="65" spans="24:151"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</row>
    <row r="66" spans="24:151"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</row>
    <row r="67" spans="24:151"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</row>
    <row r="68" spans="24:151"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</row>
    <row r="69" spans="24:151"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</row>
    <row r="70" spans="24:151"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</row>
    <row r="71" spans="24:151"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</row>
    <row r="72" spans="24:151"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</row>
    <row r="73" spans="24:151"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</row>
    <row r="74" spans="24:151"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</row>
    <row r="75" spans="24:151"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</row>
    <row r="76" spans="24:151"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</row>
    <row r="77" spans="24:151"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</row>
    <row r="78" spans="24:151"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</row>
    <row r="79" spans="24:151"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</row>
    <row r="80" spans="24:151"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</row>
    <row r="81" spans="24:151"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</row>
    <row r="82" spans="24:151"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</row>
    <row r="83" spans="24:151"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</row>
    <row r="84" spans="24:151"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</row>
    <row r="85" spans="24:151"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</row>
    <row r="86" spans="24:151"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</row>
    <row r="87" spans="24:151"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</row>
    <row r="88" spans="24:151"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</row>
    <row r="89" spans="24:151"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</row>
    <row r="90" spans="24:151"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</row>
    <row r="91" spans="24:151"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</row>
    <row r="92" spans="24:151"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</row>
    <row r="93" spans="24:151"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</row>
    <row r="94" spans="24:151"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</row>
    <row r="95" spans="24:151"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</row>
    <row r="96" spans="24:151"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</row>
    <row r="97" spans="24:151"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</row>
    <row r="98" spans="24:151"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</row>
    <row r="99" spans="24:151"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</row>
    <row r="100" spans="24:151"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</row>
    <row r="101" spans="24:151"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</row>
    <row r="102" spans="24:151"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</row>
    <row r="103" spans="24:151"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</row>
    <row r="104" spans="24:151"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</row>
    <row r="105" spans="24:151"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</row>
    <row r="106" spans="24:151"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</row>
    <row r="107" spans="24:151"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</row>
    <row r="108" spans="24:151"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</row>
    <row r="109" spans="24:151"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</row>
    <row r="110" spans="24:151"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</row>
    <row r="111" spans="24:151"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</row>
    <row r="112" spans="24:151"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</row>
    <row r="113" spans="24:151"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</row>
    <row r="114" spans="24:151"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</row>
    <row r="115" spans="24:151"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</row>
    <row r="116" spans="24:151"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</row>
    <row r="117" spans="24:151"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</row>
    <row r="118" spans="24:151"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</row>
    <row r="119" spans="24:151"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</row>
    <row r="120" spans="24:151"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</row>
    <row r="121" spans="24:151"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</row>
    <row r="122" spans="24:151"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</row>
    <row r="123" spans="24:151"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</row>
    <row r="124" spans="24:151"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</row>
  </sheetData>
  <phoneticPr fontId="0" type="noConversion"/>
  <printOptions gridLines="1" gridLinesSet="0"/>
  <pageMargins left="0.35" right="0.75" top="0.62" bottom="0.63" header="0.5" footer="0.5"/>
  <pageSetup scale="70" orientation="landscape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187"/>
  <sheetViews>
    <sheetView workbookViewId="0">
      <pane xSplit="3" ySplit="3" topLeftCell="N4" activePane="bottomRight" state="frozenSplit"/>
      <selection pane="bottomRight" activeCell="X23" sqref="V3:X23"/>
      <selection pane="bottomLeft" activeCell="A3" sqref="A3"/>
      <selection pane="topRight" activeCell="D1" sqref="D1"/>
    </sheetView>
  </sheetViews>
  <sheetFormatPr defaultColWidth="9.28515625" defaultRowHeight="11.25"/>
  <cols>
    <col min="1" max="1" width="12.140625" style="7" customWidth="1"/>
    <col min="2" max="2" width="18" style="28" bestFit="1" customWidth="1"/>
    <col min="3" max="3" width="12.140625" style="7" customWidth="1"/>
    <col min="4" max="12" width="6.7109375" style="9" customWidth="1"/>
    <col min="13" max="13" width="6.140625" style="9" customWidth="1"/>
    <col min="14" max="18" width="6.7109375" style="9" customWidth="1"/>
    <col min="19" max="21" width="9.28515625" style="9" customWidth="1"/>
    <col min="22" max="16384" width="9.28515625" style="7"/>
  </cols>
  <sheetData>
    <row r="1" spans="1:24">
      <c r="B1" s="25" t="s">
        <v>0</v>
      </c>
      <c r="D1" s="8" t="s">
        <v>1</v>
      </c>
      <c r="I1" s="34"/>
      <c r="J1" s="9" t="s">
        <v>2</v>
      </c>
    </row>
    <row r="2" spans="1:24" ht="33.75">
      <c r="A2" s="7" t="s">
        <v>39</v>
      </c>
      <c r="B2" s="26" t="s">
        <v>4</v>
      </c>
      <c r="C2" s="10" t="s">
        <v>39</v>
      </c>
    </row>
    <row r="3" spans="1:24" s="11" customFormat="1" ht="22.5">
      <c r="A3" s="11" t="s">
        <v>6</v>
      </c>
      <c r="B3" s="27" t="s">
        <v>7</v>
      </c>
      <c r="C3" s="11" t="s">
        <v>40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15</v>
      </c>
      <c r="K3" s="12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2" t="s">
        <v>24</v>
      </c>
      <c r="T3" s="12" t="s">
        <v>25</v>
      </c>
      <c r="U3" s="12" t="s">
        <v>26</v>
      </c>
      <c r="V3" s="13" t="s">
        <v>27</v>
      </c>
      <c r="W3" s="13" t="s">
        <v>28</v>
      </c>
      <c r="X3" s="11" t="s">
        <v>29</v>
      </c>
    </row>
    <row r="4" spans="1:24">
      <c r="A4" s="7" t="s">
        <v>30</v>
      </c>
      <c r="B4" s="28" t="s">
        <v>31</v>
      </c>
      <c r="C4" s="7" t="s">
        <v>32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 t="e">
        <f>AVERAGE(AVERAGE(D4:H4),AVERAGE(I4:M4),AVERAGE(N4:R4))</f>
        <v>#DIV/0!</v>
      </c>
      <c r="T4" s="9" t="e">
        <f>STDEV(AVERAGE(D4:H4),AVERAGE(I4:M4),AVERAGE(N4:R4))/SQRT(3)</f>
        <v>#DIV/0!</v>
      </c>
      <c r="U4" s="9">
        <f>COUNT(D4:R4)</f>
        <v>0</v>
      </c>
      <c r="V4" s="9">
        <f>SUM(D4:H4)</f>
        <v>0</v>
      </c>
      <c r="W4" s="9">
        <f>SUM(I4:M4)</f>
        <v>0</v>
      </c>
      <c r="X4" s="9">
        <f>SUM(N4:R4)</f>
        <v>0</v>
      </c>
    </row>
    <row r="5" spans="1:24">
      <c r="C5" s="7" t="s">
        <v>33</v>
      </c>
      <c r="D5" s="14">
        <v>2.7E-2</v>
      </c>
      <c r="E5" s="14">
        <v>1.2E-2</v>
      </c>
      <c r="F5" s="14">
        <v>5.0000000000000001E-3</v>
      </c>
      <c r="G5" s="14"/>
      <c r="H5" s="14"/>
      <c r="I5" s="14">
        <v>0.13900000000000001</v>
      </c>
      <c r="J5" s="14"/>
      <c r="K5" s="14">
        <v>4.7E-2</v>
      </c>
      <c r="L5" s="14">
        <v>6.3E-2</v>
      </c>
      <c r="M5" s="14"/>
      <c r="N5" s="14"/>
      <c r="O5" s="14"/>
      <c r="P5" s="14"/>
      <c r="Q5" s="14"/>
      <c r="R5" s="14"/>
      <c r="S5" s="9" t="e">
        <f t="shared" ref="S5:S23" si="0">AVERAGE(AVERAGE(D5:H5),AVERAGE(I5:M5),AVERAGE(N5:R5))</f>
        <v>#DIV/0!</v>
      </c>
      <c r="T5" s="9" t="e">
        <f t="shared" ref="T5:T23" si="1">STDEV(AVERAGE(D5:H5),AVERAGE(I5:M5),AVERAGE(N5:R5))/SQRT(3)</f>
        <v>#DIV/0!</v>
      </c>
      <c r="U5" s="9">
        <f t="shared" ref="U5:U23" si="2">COUNT(D5:R5)</f>
        <v>6</v>
      </c>
      <c r="V5" s="9">
        <f t="shared" ref="V5:V23" si="3">SUM(D5:H5)</f>
        <v>4.3999999999999997E-2</v>
      </c>
      <c r="W5" s="9">
        <f t="shared" ref="W5:W23" si="4">SUM(I5:M5)</f>
        <v>0.249</v>
      </c>
      <c r="X5" s="9">
        <f t="shared" ref="X5:X23" si="5">SUM(N5:R5)</f>
        <v>0</v>
      </c>
    </row>
    <row r="6" spans="1:24">
      <c r="B6" s="28" t="s">
        <v>34</v>
      </c>
      <c r="C6" s="7" t="s">
        <v>32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>
        <v>4.8000000000000001E-2</v>
      </c>
      <c r="O6" s="14"/>
      <c r="P6" s="14"/>
      <c r="Q6" s="14"/>
      <c r="R6" s="14"/>
      <c r="S6" s="9" t="e">
        <f t="shared" si="0"/>
        <v>#DIV/0!</v>
      </c>
      <c r="T6" s="9" t="e">
        <f t="shared" si="1"/>
        <v>#DIV/0!</v>
      </c>
      <c r="U6" s="9">
        <f t="shared" si="2"/>
        <v>1</v>
      </c>
      <c r="V6" s="9">
        <f t="shared" si="3"/>
        <v>0</v>
      </c>
      <c r="W6" s="9">
        <f t="shared" si="4"/>
        <v>0</v>
      </c>
      <c r="X6" s="9">
        <f t="shared" si="5"/>
        <v>4.8000000000000001E-2</v>
      </c>
    </row>
    <row r="7" spans="1:24">
      <c r="C7" s="7" t="s">
        <v>33</v>
      </c>
      <c r="D7" s="15"/>
      <c r="E7" s="15"/>
      <c r="F7" s="15"/>
      <c r="G7" s="14"/>
      <c r="H7" s="15"/>
      <c r="I7" s="15"/>
      <c r="J7" s="14">
        <v>0.01</v>
      </c>
      <c r="K7" s="15"/>
      <c r="L7" s="14">
        <v>0.22600000000000001</v>
      </c>
      <c r="M7" s="15">
        <v>0.10299999999999999</v>
      </c>
      <c r="N7" s="14">
        <v>0.52</v>
      </c>
      <c r="O7" s="15">
        <v>0.22500000000000001</v>
      </c>
      <c r="P7" s="15">
        <v>0.13700000000000001</v>
      </c>
      <c r="Q7" s="15">
        <v>2.3E-2</v>
      </c>
      <c r="R7" s="15"/>
      <c r="S7" s="9" t="e">
        <f t="shared" si="0"/>
        <v>#DIV/0!</v>
      </c>
      <c r="T7" s="9" t="e">
        <f t="shared" si="1"/>
        <v>#DIV/0!</v>
      </c>
      <c r="U7" s="9">
        <f t="shared" si="2"/>
        <v>7</v>
      </c>
      <c r="V7" s="9">
        <f t="shared" si="3"/>
        <v>0</v>
      </c>
      <c r="W7" s="9">
        <f t="shared" si="4"/>
        <v>0.33900000000000002</v>
      </c>
      <c r="X7" s="9">
        <f t="shared" si="5"/>
        <v>0.90500000000000003</v>
      </c>
    </row>
    <row r="8" spans="1:24">
      <c r="B8" s="28" t="s">
        <v>35</v>
      </c>
      <c r="C8" s="7" t="s">
        <v>32</v>
      </c>
      <c r="D8" s="15"/>
      <c r="E8" s="15"/>
      <c r="F8" s="15"/>
      <c r="G8" s="14"/>
      <c r="H8" s="15"/>
      <c r="I8" s="15"/>
      <c r="J8" s="14"/>
      <c r="K8" s="15"/>
      <c r="L8" s="14"/>
      <c r="M8" s="15"/>
      <c r="N8" s="14"/>
      <c r="O8" s="15"/>
      <c r="P8" s="15"/>
      <c r="Q8" s="15"/>
      <c r="R8" s="15"/>
      <c r="S8" s="9" t="e">
        <f t="shared" si="0"/>
        <v>#DIV/0!</v>
      </c>
      <c r="T8" s="9" t="e">
        <f t="shared" si="1"/>
        <v>#DIV/0!</v>
      </c>
      <c r="U8" s="9">
        <f t="shared" si="2"/>
        <v>0</v>
      </c>
      <c r="V8" s="9">
        <f t="shared" si="3"/>
        <v>0</v>
      </c>
      <c r="W8" s="9">
        <f t="shared" si="4"/>
        <v>0</v>
      </c>
      <c r="X8" s="9">
        <f t="shared" si="5"/>
        <v>0</v>
      </c>
    </row>
    <row r="9" spans="1:24">
      <c r="C9" s="7" t="s">
        <v>33</v>
      </c>
      <c r="D9" s="15">
        <v>4.5999999999999999E-2</v>
      </c>
      <c r="E9" s="15">
        <v>3.7999999999999999E-2</v>
      </c>
      <c r="F9" s="15"/>
      <c r="G9" s="14">
        <v>1.2E-2</v>
      </c>
      <c r="H9" s="15">
        <v>1.4E-2</v>
      </c>
      <c r="I9" s="15">
        <v>7.3999999999999996E-2</v>
      </c>
      <c r="J9" s="14"/>
      <c r="K9" s="15">
        <v>0.08</v>
      </c>
      <c r="L9" s="14"/>
      <c r="M9" s="15"/>
      <c r="N9" s="14"/>
      <c r="O9" s="15"/>
      <c r="P9" s="15"/>
      <c r="Q9" s="15"/>
      <c r="R9" s="15"/>
      <c r="S9" s="9" t="e">
        <f t="shared" si="0"/>
        <v>#DIV/0!</v>
      </c>
      <c r="T9" s="9" t="e">
        <f t="shared" si="1"/>
        <v>#DIV/0!</v>
      </c>
      <c r="U9" s="9">
        <f t="shared" si="2"/>
        <v>6</v>
      </c>
      <c r="V9" s="9">
        <f t="shared" si="3"/>
        <v>0.10999999999999999</v>
      </c>
      <c r="W9" s="9">
        <f t="shared" si="4"/>
        <v>0.154</v>
      </c>
      <c r="X9" s="9">
        <f t="shared" si="5"/>
        <v>0</v>
      </c>
    </row>
    <row r="10" spans="1:24">
      <c r="B10" s="28" t="s">
        <v>36</v>
      </c>
      <c r="C10" s="7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6.0999999999999999E-2</v>
      </c>
      <c r="O10" s="14"/>
      <c r="P10" s="14"/>
      <c r="Q10" s="14"/>
      <c r="R10" s="14"/>
      <c r="S10" s="9" t="e">
        <f t="shared" si="0"/>
        <v>#DIV/0!</v>
      </c>
      <c r="T10" s="9" t="e">
        <f t="shared" si="1"/>
        <v>#DIV/0!</v>
      </c>
      <c r="U10" s="9">
        <f t="shared" si="2"/>
        <v>1</v>
      </c>
      <c r="V10" s="9">
        <f t="shared" si="3"/>
        <v>0</v>
      </c>
      <c r="W10" s="9">
        <f t="shared" si="4"/>
        <v>0</v>
      </c>
      <c r="X10" s="9">
        <f t="shared" si="5"/>
        <v>6.0999999999999999E-2</v>
      </c>
    </row>
    <row r="11" spans="1:24">
      <c r="C11" s="7" t="s">
        <v>33</v>
      </c>
      <c r="D11" s="14">
        <v>0.437</v>
      </c>
      <c r="E11" s="14">
        <v>1.4239999999999999</v>
      </c>
      <c r="F11" s="14">
        <v>0.60399999999999998</v>
      </c>
      <c r="G11" s="14">
        <v>0.16500000000000001</v>
      </c>
      <c r="H11" s="14">
        <v>1.175</v>
      </c>
      <c r="I11" s="14">
        <v>0.53500000000000003</v>
      </c>
      <c r="J11" s="14">
        <v>0.627</v>
      </c>
      <c r="K11" s="14">
        <v>1.67</v>
      </c>
      <c r="L11" s="14">
        <v>2.1339999999999999</v>
      </c>
      <c r="M11" s="14">
        <v>0.65200000000000002</v>
      </c>
      <c r="N11" s="14">
        <v>0.06</v>
      </c>
      <c r="O11" s="14">
        <v>1.262</v>
      </c>
      <c r="P11" s="14">
        <v>9.5000000000000001E-2</v>
      </c>
      <c r="Q11" s="14">
        <v>8.5000000000000006E-2</v>
      </c>
      <c r="R11" s="14">
        <v>0.121</v>
      </c>
      <c r="S11" s="9">
        <f t="shared" si="0"/>
        <v>0.73640000000000005</v>
      </c>
      <c r="T11" s="9">
        <f t="shared" si="1"/>
        <v>0.23097916211929875</v>
      </c>
      <c r="U11" s="9">
        <f t="shared" si="2"/>
        <v>15</v>
      </c>
      <c r="V11" s="9">
        <f t="shared" si="3"/>
        <v>3.8049999999999997</v>
      </c>
      <c r="W11" s="9">
        <f t="shared" si="4"/>
        <v>5.6179999999999994</v>
      </c>
      <c r="X11" s="9">
        <f t="shared" si="5"/>
        <v>1.623</v>
      </c>
    </row>
    <row r="12" spans="1:24">
      <c r="A12" s="7" t="s">
        <v>37</v>
      </c>
      <c r="B12" s="28" t="s">
        <v>31</v>
      </c>
      <c r="C12" s="7" t="s">
        <v>32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9" t="e">
        <f t="shared" si="0"/>
        <v>#DIV/0!</v>
      </c>
      <c r="T12" s="9" t="e">
        <f t="shared" si="1"/>
        <v>#DIV/0!</v>
      </c>
      <c r="U12" s="9">
        <f t="shared" si="2"/>
        <v>0</v>
      </c>
      <c r="V12" s="9">
        <f t="shared" si="3"/>
        <v>0</v>
      </c>
      <c r="W12" s="9">
        <f t="shared" si="4"/>
        <v>0</v>
      </c>
      <c r="X12" s="9">
        <f t="shared" si="5"/>
        <v>0</v>
      </c>
    </row>
    <row r="13" spans="1:24">
      <c r="C13" s="7" t="s">
        <v>33</v>
      </c>
      <c r="D13" s="14">
        <v>1.9E-2</v>
      </c>
      <c r="E13" s="14">
        <v>0.03</v>
      </c>
      <c r="F13" s="14">
        <v>1.2E-2</v>
      </c>
      <c r="G13" s="14"/>
      <c r="H13" s="14">
        <v>7.0000000000000001E-3</v>
      </c>
      <c r="I13" s="14">
        <v>1.2999999999999999E-2</v>
      </c>
      <c r="J13" s="15"/>
      <c r="K13" s="15">
        <v>8.0000000000000002E-3</v>
      </c>
      <c r="L13" s="14">
        <v>2.4E-2</v>
      </c>
      <c r="M13" s="14">
        <v>0.14099999999999999</v>
      </c>
      <c r="N13" s="14">
        <v>1.4999999999999999E-2</v>
      </c>
      <c r="O13" s="14">
        <v>1.2999999999999999E-2</v>
      </c>
      <c r="P13" s="14"/>
      <c r="Q13" s="14"/>
      <c r="R13" s="14"/>
      <c r="S13" s="9">
        <f t="shared" si="0"/>
        <v>2.5833333333333333E-2</v>
      </c>
      <c r="T13" s="9">
        <f t="shared" si="1"/>
        <v>1.0369560153534855E-2</v>
      </c>
      <c r="U13" s="9">
        <f t="shared" si="2"/>
        <v>10</v>
      </c>
      <c r="V13" s="9">
        <f t="shared" si="3"/>
        <v>6.8000000000000005E-2</v>
      </c>
      <c r="W13" s="9">
        <f t="shared" si="4"/>
        <v>0.186</v>
      </c>
      <c r="X13" s="9">
        <f t="shared" si="5"/>
        <v>2.7999999999999997E-2</v>
      </c>
    </row>
    <row r="14" spans="1:24">
      <c r="B14" s="28" t="s">
        <v>34</v>
      </c>
      <c r="C14" s="7" t="s">
        <v>32</v>
      </c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4"/>
      <c r="R14" s="14"/>
      <c r="S14" s="9" t="e">
        <f t="shared" si="0"/>
        <v>#DIV/0!</v>
      </c>
      <c r="T14" s="9" t="e">
        <f t="shared" si="1"/>
        <v>#DIV/0!</v>
      </c>
      <c r="U14" s="9">
        <f t="shared" si="2"/>
        <v>0</v>
      </c>
      <c r="V14" s="9">
        <f t="shared" si="3"/>
        <v>0</v>
      </c>
      <c r="W14" s="9">
        <f t="shared" si="4"/>
        <v>0</v>
      </c>
      <c r="X14" s="9">
        <f t="shared" si="5"/>
        <v>0</v>
      </c>
    </row>
    <row r="15" spans="1:24">
      <c r="C15" s="7" t="s">
        <v>33</v>
      </c>
      <c r="D15" s="14"/>
      <c r="E15" s="14"/>
      <c r="F15" s="14"/>
      <c r="G15" s="14">
        <v>0.127</v>
      </c>
      <c r="H15" s="14"/>
      <c r="I15" s="14"/>
      <c r="J15" s="14"/>
      <c r="K15" s="14"/>
      <c r="L15" s="14"/>
      <c r="M15" s="14"/>
      <c r="N15" s="14">
        <v>0.629</v>
      </c>
      <c r="O15" s="14">
        <v>0.11700000000000001</v>
      </c>
      <c r="P15" s="14">
        <v>0.439</v>
      </c>
      <c r="Q15" s="14">
        <v>0.51600000000000001</v>
      </c>
      <c r="R15" s="14">
        <v>0.216</v>
      </c>
      <c r="S15" s="9" t="e">
        <f t="shared" si="0"/>
        <v>#DIV/0!</v>
      </c>
      <c r="T15" s="9" t="e">
        <f t="shared" si="1"/>
        <v>#DIV/0!</v>
      </c>
      <c r="U15" s="9">
        <f t="shared" si="2"/>
        <v>6</v>
      </c>
      <c r="V15" s="9">
        <f t="shared" si="3"/>
        <v>0.127</v>
      </c>
      <c r="W15" s="9">
        <f t="shared" si="4"/>
        <v>0</v>
      </c>
      <c r="X15" s="9">
        <f t="shared" si="5"/>
        <v>1.917</v>
      </c>
    </row>
    <row r="16" spans="1:24">
      <c r="B16" s="28" t="s">
        <v>36</v>
      </c>
      <c r="C16" s="7" t="s">
        <v>32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9" t="e">
        <f t="shared" si="0"/>
        <v>#DIV/0!</v>
      </c>
      <c r="T16" s="9" t="e">
        <f t="shared" si="1"/>
        <v>#DIV/0!</v>
      </c>
      <c r="U16" s="9">
        <f t="shared" si="2"/>
        <v>0</v>
      </c>
      <c r="V16" s="9">
        <f t="shared" si="3"/>
        <v>0</v>
      </c>
      <c r="W16" s="9">
        <f t="shared" si="4"/>
        <v>0</v>
      </c>
      <c r="X16" s="9">
        <f t="shared" si="5"/>
        <v>0</v>
      </c>
    </row>
    <row r="17" spans="1:24">
      <c r="C17" s="7" t="s">
        <v>33</v>
      </c>
      <c r="D17" s="14">
        <v>1.3320000000000001</v>
      </c>
      <c r="E17" s="14">
        <v>7.9000000000000001E-2</v>
      </c>
      <c r="F17" s="14">
        <v>0.12</v>
      </c>
      <c r="G17" s="14">
        <v>1.5249999999999999</v>
      </c>
      <c r="H17" s="14">
        <v>0.372</v>
      </c>
      <c r="I17" s="14">
        <v>1.1379999999999999</v>
      </c>
      <c r="J17" s="14">
        <v>0.49099999999999999</v>
      </c>
      <c r="K17" s="14">
        <v>0.26900000000000002</v>
      </c>
      <c r="L17" s="14">
        <v>0.42499999999999999</v>
      </c>
      <c r="M17" s="14">
        <v>0.19900000000000001</v>
      </c>
      <c r="N17" s="14">
        <v>1.538</v>
      </c>
      <c r="O17" s="14">
        <v>0.91300000000000003</v>
      </c>
      <c r="P17" s="14">
        <v>1.1819999999999999</v>
      </c>
      <c r="Q17" s="14">
        <v>1.25</v>
      </c>
      <c r="R17" s="14">
        <v>0.72199999999999998</v>
      </c>
      <c r="S17" s="9">
        <f t="shared" si="0"/>
        <v>0.77033333333333331</v>
      </c>
      <c r="T17" s="9">
        <f t="shared" si="1"/>
        <v>0.18296966354501987</v>
      </c>
      <c r="U17" s="9">
        <f t="shared" si="2"/>
        <v>15</v>
      </c>
      <c r="V17" s="9">
        <f t="shared" si="3"/>
        <v>3.4279999999999999</v>
      </c>
      <c r="W17" s="9">
        <f t="shared" si="4"/>
        <v>2.5219999999999998</v>
      </c>
      <c r="X17" s="9">
        <f t="shared" si="5"/>
        <v>5.6050000000000004</v>
      </c>
    </row>
    <row r="18" spans="1:24">
      <c r="A18" s="7" t="s">
        <v>38</v>
      </c>
      <c r="B18" s="28" t="s">
        <v>31</v>
      </c>
      <c r="C18" s="7" t="s">
        <v>32</v>
      </c>
      <c r="D18" s="14"/>
      <c r="E18" s="32"/>
      <c r="F18" s="14"/>
      <c r="G18" s="14"/>
      <c r="H18" s="14"/>
      <c r="I18" s="14"/>
      <c r="J18" s="14"/>
      <c r="K18" s="32"/>
      <c r="L18" s="14"/>
      <c r="M18" s="14"/>
      <c r="N18" s="14"/>
      <c r="O18" s="14"/>
      <c r="P18" s="14"/>
      <c r="Q18" s="14"/>
      <c r="R18" s="14"/>
      <c r="S18" s="9" t="e">
        <f t="shared" si="0"/>
        <v>#DIV/0!</v>
      </c>
      <c r="T18" s="9" t="e">
        <f t="shared" si="1"/>
        <v>#DIV/0!</v>
      </c>
      <c r="U18" s="9">
        <f t="shared" si="2"/>
        <v>0</v>
      </c>
      <c r="V18" s="9">
        <f t="shared" si="3"/>
        <v>0</v>
      </c>
      <c r="W18" s="9">
        <f t="shared" si="4"/>
        <v>0</v>
      </c>
      <c r="X18" s="9">
        <f t="shared" si="5"/>
        <v>0</v>
      </c>
    </row>
    <row r="19" spans="1:24">
      <c r="C19" s="7" t="s">
        <v>33</v>
      </c>
      <c r="D19" s="14">
        <v>1.7000000000000001E-2</v>
      </c>
      <c r="E19" s="33"/>
      <c r="F19" s="14">
        <v>1.9E-2</v>
      </c>
      <c r="G19" s="14">
        <v>2.3E-2</v>
      </c>
      <c r="H19" s="14"/>
      <c r="I19" s="14">
        <v>1.6E-2</v>
      </c>
      <c r="J19" s="14"/>
      <c r="K19" s="32"/>
      <c r="L19" s="14">
        <v>1.7999999999999999E-2</v>
      </c>
      <c r="M19" s="14">
        <v>9.2999999999999999E-2</v>
      </c>
      <c r="N19" s="14"/>
      <c r="O19" s="14">
        <v>6.0000000000000001E-3</v>
      </c>
      <c r="P19" s="14">
        <v>1.6E-2</v>
      </c>
      <c r="Q19" s="14"/>
      <c r="R19" s="14"/>
      <c r="S19" s="9">
        <f t="shared" si="0"/>
        <v>2.4333333333333332E-2</v>
      </c>
      <c r="T19" s="9">
        <f t="shared" si="1"/>
        <v>9.3412664697705376E-3</v>
      </c>
      <c r="U19" s="9">
        <f t="shared" si="2"/>
        <v>8</v>
      </c>
      <c r="V19" s="9">
        <f t="shared" si="3"/>
        <v>5.9000000000000004E-2</v>
      </c>
      <c r="W19" s="9">
        <f t="shared" si="4"/>
        <v>0.127</v>
      </c>
      <c r="X19" s="9">
        <f t="shared" si="5"/>
        <v>2.1999999999999999E-2</v>
      </c>
    </row>
    <row r="20" spans="1:24" s="16" customFormat="1">
      <c r="A20" s="7"/>
      <c r="B20" s="28" t="s">
        <v>34</v>
      </c>
      <c r="C20" s="7" t="s">
        <v>32</v>
      </c>
      <c r="D20" s="14"/>
      <c r="E20" s="33"/>
      <c r="F20" s="14"/>
      <c r="G20" s="14"/>
      <c r="H20" s="14"/>
      <c r="I20" s="14"/>
      <c r="J20" s="14"/>
      <c r="K20" s="32"/>
      <c r="L20" s="14"/>
      <c r="M20" s="14"/>
      <c r="N20" s="14"/>
      <c r="O20" s="14"/>
      <c r="P20" s="14"/>
      <c r="Q20" s="14">
        <v>0.16600000000000001</v>
      </c>
      <c r="R20" s="14">
        <v>0.24</v>
      </c>
      <c r="S20" s="9" t="e">
        <f t="shared" si="0"/>
        <v>#DIV/0!</v>
      </c>
      <c r="T20" s="9" t="e">
        <f t="shared" si="1"/>
        <v>#DIV/0!</v>
      </c>
      <c r="U20" s="9">
        <f t="shared" si="2"/>
        <v>2</v>
      </c>
      <c r="V20" s="9">
        <f t="shared" si="3"/>
        <v>0</v>
      </c>
      <c r="W20" s="9">
        <f t="shared" si="4"/>
        <v>0</v>
      </c>
      <c r="X20" s="9">
        <f t="shared" si="5"/>
        <v>0.40600000000000003</v>
      </c>
    </row>
    <row r="21" spans="1:24">
      <c r="C21" s="7" t="s">
        <v>33</v>
      </c>
      <c r="D21" s="14"/>
      <c r="E21" s="34"/>
      <c r="F21" s="14"/>
      <c r="G21" s="14">
        <v>0.128</v>
      </c>
      <c r="H21" s="14"/>
      <c r="I21" s="14"/>
      <c r="J21" s="14">
        <v>0.109</v>
      </c>
      <c r="K21" s="32"/>
      <c r="L21" s="14">
        <v>7.6999999999999999E-2</v>
      </c>
      <c r="M21" s="14"/>
      <c r="N21" s="14">
        <v>5.5E-2</v>
      </c>
      <c r="O21" s="14"/>
      <c r="P21" s="14">
        <v>0.78500000000000003</v>
      </c>
      <c r="Q21" s="14">
        <v>0.379</v>
      </c>
      <c r="R21" s="14">
        <v>0.80900000000000005</v>
      </c>
      <c r="S21" s="9">
        <f t="shared" si="0"/>
        <v>0.24266666666666667</v>
      </c>
      <c r="T21" s="9">
        <f t="shared" si="1"/>
        <v>0.13255229575948929</v>
      </c>
      <c r="U21" s="9">
        <f t="shared" si="2"/>
        <v>7</v>
      </c>
      <c r="V21" s="9">
        <f t="shared" si="3"/>
        <v>0.128</v>
      </c>
      <c r="W21" s="9">
        <f t="shared" si="4"/>
        <v>0.186</v>
      </c>
      <c r="X21" s="9">
        <f t="shared" si="5"/>
        <v>2.028</v>
      </c>
    </row>
    <row r="22" spans="1:24">
      <c r="B22" s="28" t="s">
        <v>36</v>
      </c>
      <c r="C22" s="7" t="s">
        <v>32</v>
      </c>
      <c r="D22" s="14"/>
      <c r="E22" s="34"/>
      <c r="F22" s="14"/>
      <c r="G22" s="14"/>
      <c r="H22" s="14"/>
      <c r="I22" s="14"/>
      <c r="J22" s="14"/>
      <c r="K22" s="32"/>
      <c r="L22" s="14"/>
      <c r="M22" s="14"/>
      <c r="N22" s="14"/>
      <c r="O22" s="14"/>
      <c r="P22" s="14"/>
      <c r="Q22" s="14"/>
      <c r="R22" s="14"/>
      <c r="S22" s="9" t="e">
        <f t="shared" si="0"/>
        <v>#DIV/0!</v>
      </c>
      <c r="T22" s="9" t="e">
        <f t="shared" si="1"/>
        <v>#DIV/0!</v>
      </c>
      <c r="U22" s="9">
        <f t="shared" si="2"/>
        <v>0</v>
      </c>
      <c r="V22" s="9">
        <f t="shared" si="3"/>
        <v>0</v>
      </c>
      <c r="W22" s="9">
        <f t="shared" si="4"/>
        <v>0</v>
      </c>
      <c r="X22" s="9">
        <f t="shared" si="5"/>
        <v>0</v>
      </c>
    </row>
    <row r="23" spans="1:24">
      <c r="C23" s="7" t="s">
        <v>33</v>
      </c>
      <c r="D23" s="14">
        <v>0.20899999999999999</v>
      </c>
      <c r="E23" s="34"/>
      <c r="F23" s="14">
        <v>0.12</v>
      </c>
      <c r="G23" s="14">
        <v>0.49399999999999999</v>
      </c>
      <c r="H23" s="14">
        <v>0.35799999999999998</v>
      </c>
      <c r="I23" s="14">
        <v>0.69499999999999995</v>
      </c>
      <c r="J23" s="14">
        <v>1.048</v>
      </c>
      <c r="K23" s="32"/>
      <c r="L23" s="14">
        <v>0.58199999999999996</v>
      </c>
      <c r="M23" s="14">
        <v>0.20399999999999999</v>
      </c>
      <c r="N23" s="14">
        <v>0.20899999999999999</v>
      </c>
      <c r="O23" s="14">
        <v>1.1539999999999999</v>
      </c>
      <c r="P23" s="14">
        <v>0.78300000000000003</v>
      </c>
      <c r="Q23" s="14">
        <v>0.40100000000000002</v>
      </c>
      <c r="R23" s="14">
        <v>0.26900000000000002</v>
      </c>
      <c r="S23" s="9">
        <f t="shared" si="0"/>
        <v>0.49689999999999995</v>
      </c>
      <c r="T23" s="9">
        <f t="shared" si="1"/>
        <v>0.102776484826702</v>
      </c>
      <c r="U23" s="9">
        <f t="shared" si="2"/>
        <v>13</v>
      </c>
      <c r="V23" s="9">
        <f t="shared" si="3"/>
        <v>1.181</v>
      </c>
      <c r="W23" s="9">
        <f t="shared" si="4"/>
        <v>2.5289999999999999</v>
      </c>
      <c r="X23" s="9">
        <f t="shared" si="5"/>
        <v>2.8159999999999998</v>
      </c>
    </row>
    <row r="24" spans="1:24"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24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24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24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24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24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24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24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24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2:21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21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2:21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21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21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2:21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2:21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2:21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21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2:21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2:21" s="16" customFormat="1">
      <c r="B43" s="29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9"/>
      <c r="T43" s="9"/>
      <c r="U43" s="9"/>
    </row>
    <row r="44" spans="2:21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21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2:21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2:21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2:21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4:18"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4:18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4:18"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4:18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4:18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4:18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4:18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4:18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4:18">
      <c r="D57" s="14"/>
      <c r="E57" s="14"/>
      <c r="F57" s="14"/>
      <c r="G57" s="14"/>
      <c r="H57" s="14"/>
      <c r="I57" s="14"/>
      <c r="J57" s="15"/>
      <c r="K57" s="15"/>
      <c r="L57" s="14"/>
      <c r="M57" s="14"/>
      <c r="N57" s="15"/>
      <c r="O57" s="15"/>
      <c r="P57" s="15"/>
      <c r="Q57" s="15"/>
      <c r="R57" s="15"/>
    </row>
    <row r="58" spans="4:18">
      <c r="D58" s="14"/>
      <c r="E58" s="14"/>
      <c r="F58" s="14"/>
      <c r="G58" s="14"/>
      <c r="H58" s="14"/>
      <c r="I58" s="15"/>
      <c r="J58" s="14"/>
      <c r="K58" s="14"/>
      <c r="L58" s="14"/>
      <c r="M58" s="14"/>
      <c r="N58" s="14"/>
      <c r="O58" s="15"/>
      <c r="P58" s="15"/>
      <c r="Q58" s="15"/>
      <c r="R58" s="15"/>
    </row>
    <row r="59" spans="4:18">
      <c r="D59" s="14"/>
      <c r="E59" s="15"/>
      <c r="F59" s="14"/>
      <c r="G59" s="15"/>
      <c r="H59" s="14"/>
      <c r="I59" s="15"/>
      <c r="J59" s="15"/>
      <c r="K59" s="14"/>
      <c r="L59" s="14"/>
      <c r="M59" s="15"/>
      <c r="N59" s="14"/>
      <c r="O59" s="14"/>
      <c r="P59" s="14"/>
      <c r="Q59" s="14"/>
      <c r="R59" s="14"/>
    </row>
    <row r="60" spans="4:18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4:18"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4:18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4:18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4:18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2:21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2:21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spans="2:21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2:21"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2:21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2:21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2:21" s="16" customFormat="1">
      <c r="B71" s="29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9"/>
      <c r="T71" s="9"/>
      <c r="U71" s="9"/>
    </row>
    <row r="72" spans="2:21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5"/>
      <c r="O72" s="14"/>
      <c r="P72" s="14"/>
      <c r="Q72" s="14"/>
      <c r="R72" s="14"/>
    </row>
    <row r="73" spans="2:21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2:21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2:21">
      <c r="C75" s="16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spans="2:21"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2:21">
      <c r="C77" s="16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2:21">
      <c r="D78" s="14"/>
      <c r="E78" s="14"/>
      <c r="F78" s="14"/>
      <c r="G78" s="1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2:21" s="16" customFormat="1">
      <c r="B79" s="29"/>
      <c r="D79" s="14"/>
      <c r="E79" s="14"/>
      <c r="F79" s="14"/>
      <c r="G79" s="18"/>
      <c r="H79" s="14"/>
      <c r="I79" s="14"/>
      <c r="J79" s="14"/>
      <c r="K79" s="14"/>
      <c r="L79" s="14"/>
      <c r="M79" s="14"/>
      <c r="N79" s="14"/>
      <c r="O79" s="17"/>
      <c r="P79" s="14"/>
      <c r="Q79" s="14"/>
      <c r="R79" s="14"/>
      <c r="S79" s="9"/>
      <c r="T79" s="9"/>
      <c r="U79" s="9"/>
    </row>
    <row r="80" spans="2:21"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2:122" s="16" customFormat="1">
      <c r="B81" s="29"/>
      <c r="D81" s="17"/>
      <c r="E81" s="17"/>
      <c r="F81" s="17"/>
      <c r="G81" s="17"/>
      <c r="H81" s="14"/>
      <c r="I81" s="17"/>
      <c r="J81" s="17"/>
      <c r="K81" s="17"/>
      <c r="L81" s="17"/>
      <c r="M81" s="17"/>
      <c r="N81" s="17"/>
      <c r="O81" s="17"/>
      <c r="P81" s="14"/>
      <c r="Q81" s="14"/>
      <c r="R81" s="14"/>
      <c r="S81" s="9"/>
      <c r="T81" s="9"/>
      <c r="U81" s="9"/>
    </row>
    <row r="82" spans="2:122" s="16" customFormat="1">
      <c r="B82" s="29"/>
      <c r="D82" s="17"/>
      <c r="E82" s="17"/>
      <c r="F82" s="14"/>
      <c r="G82" s="14"/>
      <c r="H82" s="17"/>
      <c r="I82" s="17"/>
      <c r="J82" s="17"/>
      <c r="K82" s="17"/>
      <c r="L82" s="17"/>
      <c r="M82" s="17"/>
      <c r="N82" s="17"/>
      <c r="O82" s="14"/>
      <c r="P82" s="14"/>
      <c r="Q82" s="14"/>
      <c r="R82" s="14"/>
      <c r="S82" s="9"/>
      <c r="T82" s="9"/>
      <c r="U82" s="9"/>
    </row>
    <row r="83" spans="2:122" s="20" customFormat="1">
      <c r="B83" s="30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4"/>
      <c r="Q83" s="14"/>
      <c r="R83" s="14"/>
      <c r="S83" s="9"/>
      <c r="T83" s="9"/>
      <c r="U83" s="9"/>
    </row>
    <row r="84" spans="2:122" s="22" customFormat="1">
      <c r="B84" s="31"/>
      <c r="D84" s="23"/>
      <c r="E84" s="23"/>
      <c r="F84" s="24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9"/>
      <c r="T84" s="9"/>
      <c r="U84" s="9"/>
    </row>
    <row r="85" spans="2:122" s="22" customFormat="1">
      <c r="B85" s="31"/>
      <c r="D85" s="23"/>
      <c r="E85" s="24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9"/>
      <c r="T85" s="9"/>
      <c r="U85" s="9"/>
    </row>
    <row r="86" spans="2:122" s="22" customFormat="1">
      <c r="B86" s="31"/>
      <c r="D86" s="23"/>
      <c r="E86" s="23"/>
      <c r="F86" s="24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9"/>
      <c r="T86" s="9"/>
      <c r="U86" s="9"/>
    </row>
    <row r="88" spans="2:122"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</row>
    <row r="89" spans="2:122"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</row>
    <row r="90" spans="2:122"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</row>
    <row r="91" spans="2:122"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</row>
    <row r="92" spans="2:122"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</row>
    <row r="93" spans="2:122"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</row>
    <row r="94" spans="2:122"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</row>
    <row r="95" spans="2:122"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</row>
    <row r="96" spans="2:122"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</row>
    <row r="97" spans="22:122"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</row>
    <row r="98" spans="22:122"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</row>
    <row r="99" spans="22:122"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</row>
    <row r="100" spans="22:122"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</row>
    <row r="101" spans="22:122"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</row>
    <row r="102" spans="22:122"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</row>
    <row r="103" spans="22:122"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</row>
    <row r="104" spans="22:122"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</row>
    <row r="105" spans="22:122"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</row>
    <row r="106" spans="22:122"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</row>
    <row r="107" spans="22:122"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</row>
    <row r="108" spans="22:122"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</row>
    <row r="109" spans="22:122"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</row>
    <row r="110" spans="22:122"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</row>
    <row r="111" spans="22:122"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</row>
    <row r="112" spans="22:122"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</row>
    <row r="113" spans="22:122"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</row>
    <row r="114" spans="22:122"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</row>
    <row r="115" spans="22:122"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</row>
    <row r="116" spans="22:122"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</row>
    <row r="117" spans="22:122"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</row>
    <row r="118" spans="22:122"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</row>
    <row r="119" spans="22:122"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</row>
    <row r="120" spans="22:122"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</row>
    <row r="121" spans="22:122"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</row>
    <row r="122" spans="22:122"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</row>
    <row r="123" spans="22:122"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</row>
    <row r="124" spans="22:122"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</row>
    <row r="125" spans="22:122"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</row>
    <row r="126" spans="22:122"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</row>
    <row r="127" spans="22:122"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</row>
    <row r="128" spans="22:122"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</row>
    <row r="129" spans="22:122"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</row>
    <row r="130" spans="22:122"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</row>
    <row r="131" spans="22:122"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</row>
    <row r="132" spans="22:122"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</row>
    <row r="133" spans="22:122"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</row>
    <row r="134" spans="22:122"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</row>
    <row r="135" spans="22:122"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</row>
    <row r="136" spans="22:122"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</row>
    <row r="137" spans="22:122"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</row>
    <row r="138" spans="22:122"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</row>
    <row r="139" spans="22:122"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</row>
    <row r="140" spans="22:122"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</row>
    <row r="141" spans="22:122"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</row>
    <row r="142" spans="22:122"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</row>
    <row r="143" spans="22:122"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</row>
    <row r="144" spans="22:122"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</row>
    <row r="145" spans="22:122"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</row>
    <row r="146" spans="22:122"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</row>
    <row r="147" spans="22:122"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</row>
    <row r="148" spans="22:122"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</row>
    <row r="149" spans="22:122"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</row>
    <row r="150" spans="22:122"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</row>
    <row r="151" spans="22:122"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</row>
    <row r="152" spans="22:122"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</row>
    <row r="153" spans="22:122"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</row>
    <row r="154" spans="22:122"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</row>
    <row r="155" spans="22:122"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</row>
    <row r="156" spans="22:122"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</row>
    <row r="157" spans="22:122"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</row>
    <row r="158" spans="22:122"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</row>
    <row r="159" spans="22:122"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</row>
    <row r="160" spans="22:122"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</row>
    <row r="161" spans="22:122"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</row>
    <row r="162" spans="22:122"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</row>
    <row r="163" spans="22:122"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</row>
    <row r="164" spans="22:122"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</row>
    <row r="165" spans="22:122"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</row>
    <row r="166" spans="22:122"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</row>
    <row r="167" spans="22:122"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</row>
    <row r="168" spans="22:122"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</row>
    <row r="169" spans="22:122"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</row>
    <row r="170" spans="22:122"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</row>
    <row r="171" spans="22:122"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</row>
    <row r="172" spans="22:122"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</row>
    <row r="173" spans="22:122"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</row>
    <row r="174" spans="22:122"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</row>
    <row r="175" spans="22:122"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</row>
    <row r="176" spans="22:122"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</row>
    <row r="177" spans="22:122"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</row>
    <row r="178" spans="22:122"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</row>
    <row r="179" spans="22:122"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</row>
    <row r="180" spans="22:122"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</row>
    <row r="181" spans="22:122"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</row>
    <row r="182" spans="22:122"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</row>
    <row r="183" spans="22:122"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</row>
    <row r="184" spans="22:122"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</row>
    <row r="185" spans="22:122"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</row>
    <row r="186" spans="22:122"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</row>
    <row r="187" spans="22:122"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</row>
  </sheetData>
  <printOptions gridLines="1" gridLinesSet="0"/>
  <pageMargins left="0.35" right="0.75" top="0.62" bottom="0.63" header="0.5" footer="0.5"/>
  <pageSetup scale="70" orientation="landscape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S187"/>
  <sheetViews>
    <sheetView workbookViewId="0">
      <pane xSplit="3" ySplit="3" topLeftCell="I4" activePane="bottomRight" state="frozenSplit"/>
      <selection pane="bottomRight" activeCell="V3" sqref="V3:X23"/>
      <selection pane="bottomLeft" activeCell="A3" sqref="A3"/>
      <selection pane="topRight" activeCell="D1" sqref="D1"/>
    </sheetView>
  </sheetViews>
  <sheetFormatPr defaultColWidth="9.28515625" defaultRowHeight="11.25"/>
  <cols>
    <col min="1" max="1" width="12.140625" style="7" customWidth="1"/>
    <col min="2" max="2" width="18" style="28" bestFit="1" customWidth="1"/>
    <col min="3" max="3" width="12.140625" style="7" customWidth="1"/>
    <col min="4" max="12" width="6.7109375" style="9" customWidth="1"/>
    <col min="13" max="13" width="6.140625" style="9" customWidth="1"/>
    <col min="14" max="18" width="6.7109375" style="9" customWidth="1"/>
    <col min="19" max="21" width="9.28515625" style="9" customWidth="1"/>
    <col min="22" max="16384" width="9.28515625" style="7"/>
  </cols>
  <sheetData>
    <row r="1" spans="1:26">
      <c r="B1" s="25" t="s">
        <v>0</v>
      </c>
      <c r="D1" s="8" t="s">
        <v>1</v>
      </c>
      <c r="I1" s="34"/>
      <c r="J1" s="9" t="s">
        <v>2</v>
      </c>
    </row>
    <row r="2" spans="1:26" ht="33.75">
      <c r="A2" s="7" t="s">
        <v>41</v>
      </c>
      <c r="B2" s="26" t="s">
        <v>4</v>
      </c>
      <c r="C2" s="10" t="s">
        <v>41</v>
      </c>
    </row>
    <row r="3" spans="1:26" s="11" customFormat="1" ht="22.5">
      <c r="A3" s="11" t="s">
        <v>6</v>
      </c>
      <c r="B3" s="27" t="s">
        <v>7</v>
      </c>
      <c r="C3" s="11" t="s">
        <v>40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15</v>
      </c>
      <c r="K3" s="12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2" t="s">
        <v>24</v>
      </c>
      <c r="T3" s="12" t="s">
        <v>25</v>
      </c>
      <c r="U3" s="12" t="s">
        <v>26</v>
      </c>
      <c r="V3" s="13" t="s">
        <v>27</v>
      </c>
      <c r="W3" s="13" t="s">
        <v>28</v>
      </c>
      <c r="X3" s="11" t="s">
        <v>29</v>
      </c>
    </row>
    <row r="4" spans="1:26">
      <c r="A4" s="7" t="s">
        <v>30</v>
      </c>
      <c r="B4" s="28" t="s">
        <v>31</v>
      </c>
      <c r="C4" s="7" t="s">
        <v>32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 t="e">
        <f>AVERAGE(AVERAGE(D4:H4),AVERAGE(I4:M4),AVERAGE(N4:R4))</f>
        <v>#DIV/0!</v>
      </c>
      <c r="T4" s="9" t="e">
        <f>STDEV(AVERAGE(D4:H4),AVERAGE(I4:M4),AVERAGE(N4:R4))/SQRT(3)</f>
        <v>#DIV/0!</v>
      </c>
      <c r="U4" s="9">
        <f>COUNT(D4:R4)</f>
        <v>0</v>
      </c>
      <c r="V4" s="9">
        <f>SUM(D4:H4)</f>
        <v>0</v>
      </c>
      <c r="W4" s="9">
        <f>SUM(I4:M4)</f>
        <v>0</v>
      </c>
      <c r="X4" s="9">
        <f>SUM(N4:R4)</f>
        <v>0</v>
      </c>
      <c r="Y4" s="9"/>
      <c r="Z4" s="9"/>
    </row>
    <row r="5" spans="1:26">
      <c r="C5" s="7" t="s">
        <v>33</v>
      </c>
      <c r="D5" s="14">
        <v>8.0000000000000002E-3</v>
      </c>
      <c r="E5" s="14">
        <v>0.25800000000000001</v>
      </c>
      <c r="F5" s="14">
        <v>8.9999999999999993E-3</v>
      </c>
      <c r="G5" s="14"/>
      <c r="H5" s="14">
        <v>6.2E-2</v>
      </c>
      <c r="I5" s="14">
        <v>5.0000000000000001E-3</v>
      </c>
      <c r="J5" s="14">
        <v>2E-3</v>
      </c>
      <c r="K5" s="14"/>
      <c r="L5" s="14"/>
      <c r="M5" s="14">
        <v>7.6999999999999999E-2</v>
      </c>
      <c r="N5" s="14">
        <v>1E-3</v>
      </c>
      <c r="O5" s="14">
        <v>0.04</v>
      </c>
      <c r="P5" s="14"/>
      <c r="Q5" s="14"/>
      <c r="R5" s="14"/>
      <c r="S5" s="9">
        <f t="shared" ref="S5:S23" si="0">AVERAGE(AVERAGE(D5:H5),AVERAGE(I5:M5),AVERAGE(N5:R5))</f>
        <v>4.4250000000000005E-2</v>
      </c>
      <c r="T5" s="9">
        <f t="shared" ref="T5:T23" si="1">STDEV(AVERAGE(D5:H5),AVERAGE(I5:M5),AVERAGE(N5:R5))/SQRT(3)</f>
        <v>2.0116846174288862E-2</v>
      </c>
      <c r="U5" s="9">
        <f t="shared" ref="U5:U23" si="2">COUNT(D5:R5)</f>
        <v>9</v>
      </c>
      <c r="V5" s="9">
        <f t="shared" ref="V5:V23" si="3">SUM(D5:H5)</f>
        <v>0.33700000000000002</v>
      </c>
      <c r="W5" s="9">
        <f t="shared" ref="W5:W23" si="4">SUM(I5:M5)</f>
        <v>8.4000000000000005E-2</v>
      </c>
      <c r="X5" s="9">
        <f t="shared" ref="X5:X23" si="5">SUM(N5:R5)</f>
        <v>4.1000000000000002E-2</v>
      </c>
      <c r="Y5" s="9"/>
      <c r="Z5" s="9"/>
    </row>
    <row r="6" spans="1:26">
      <c r="B6" s="28" t="s">
        <v>34</v>
      </c>
      <c r="C6" s="7" t="s">
        <v>32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9" t="e">
        <f t="shared" si="0"/>
        <v>#DIV/0!</v>
      </c>
      <c r="T6" s="9" t="e">
        <f t="shared" si="1"/>
        <v>#DIV/0!</v>
      </c>
      <c r="U6" s="9">
        <f t="shared" si="2"/>
        <v>0</v>
      </c>
      <c r="V6" s="9">
        <f t="shared" si="3"/>
        <v>0</v>
      </c>
      <c r="W6" s="9">
        <f t="shared" si="4"/>
        <v>0</v>
      </c>
      <c r="X6" s="9">
        <f t="shared" si="5"/>
        <v>0</v>
      </c>
      <c r="Y6" s="9"/>
      <c r="Z6" s="9"/>
    </row>
    <row r="7" spans="1:26">
      <c r="C7" s="7" t="s">
        <v>33</v>
      </c>
      <c r="D7" s="15">
        <v>0.35499999999999998</v>
      </c>
      <c r="E7" s="15"/>
      <c r="F7" s="15">
        <v>0.04</v>
      </c>
      <c r="G7" s="14"/>
      <c r="H7" s="15"/>
      <c r="I7" s="15"/>
      <c r="J7" s="14">
        <v>0.34799999999999998</v>
      </c>
      <c r="K7" s="15">
        <v>5.3999999999999999E-2</v>
      </c>
      <c r="L7" s="14"/>
      <c r="M7" s="15">
        <v>0.19700000000000001</v>
      </c>
      <c r="N7" s="14"/>
      <c r="O7" s="15">
        <v>3.3000000000000002E-2</v>
      </c>
      <c r="P7" s="15"/>
      <c r="Q7" s="15"/>
      <c r="R7" s="15">
        <v>0.27900000000000003</v>
      </c>
      <c r="S7" s="9">
        <f t="shared" si="0"/>
        <v>0.18438888888888891</v>
      </c>
      <c r="T7" s="9">
        <f t="shared" si="1"/>
        <v>1.4208217931539568E-2</v>
      </c>
      <c r="U7" s="9">
        <f t="shared" si="2"/>
        <v>7</v>
      </c>
      <c r="V7" s="9">
        <f t="shared" si="3"/>
        <v>0.39499999999999996</v>
      </c>
      <c r="W7" s="9">
        <f t="shared" si="4"/>
        <v>0.59899999999999998</v>
      </c>
      <c r="X7" s="9">
        <f t="shared" si="5"/>
        <v>0.31200000000000006</v>
      </c>
      <c r="Y7" s="9"/>
      <c r="Z7" s="9"/>
    </row>
    <row r="8" spans="1:26">
      <c r="B8" s="28" t="s">
        <v>35</v>
      </c>
      <c r="C8" s="7" t="s">
        <v>32</v>
      </c>
      <c r="D8" s="15"/>
      <c r="E8" s="15"/>
      <c r="F8" s="15"/>
      <c r="G8" s="14"/>
      <c r="H8" s="15"/>
      <c r="I8" s="15"/>
      <c r="J8" s="14"/>
      <c r="K8" s="15"/>
      <c r="L8" s="14"/>
      <c r="M8" s="15"/>
      <c r="N8" s="14"/>
      <c r="O8" s="15"/>
      <c r="P8" s="15"/>
      <c r="Q8" s="15"/>
      <c r="R8" s="15"/>
      <c r="S8" s="9" t="e">
        <f t="shared" si="0"/>
        <v>#DIV/0!</v>
      </c>
      <c r="T8" s="9" t="e">
        <f t="shared" si="1"/>
        <v>#DIV/0!</v>
      </c>
      <c r="U8" s="9">
        <f t="shared" si="2"/>
        <v>0</v>
      </c>
      <c r="V8" s="9">
        <f t="shared" si="3"/>
        <v>0</v>
      </c>
      <c r="W8" s="9">
        <f t="shared" si="4"/>
        <v>0</v>
      </c>
      <c r="X8" s="9">
        <f t="shared" si="5"/>
        <v>0</v>
      </c>
      <c r="Y8" s="9"/>
      <c r="Z8" s="9"/>
    </row>
    <row r="9" spans="1:26">
      <c r="C9" s="7" t="s">
        <v>33</v>
      </c>
      <c r="D9" s="15"/>
      <c r="E9" s="15"/>
      <c r="F9" s="15"/>
      <c r="G9" s="14"/>
      <c r="H9" s="15">
        <v>4.0000000000000001E-3</v>
      </c>
      <c r="I9" s="15"/>
      <c r="J9" s="14"/>
      <c r="K9" s="15">
        <v>8.0000000000000002E-3</v>
      </c>
      <c r="L9" s="14"/>
      <c r="M9" s="15">
        <v>2.8000000000000001E-2</v>
      </c>
      <c r="N9" s="14"/>
      <c r="O9" s="15"/>
      <c r="P9" s="15"/>
      <c r="Q9" s="15"/>
      <c r="R9" s="15"/>
      <c r="S9" s="9" t="e">
        <f t="shared" si="0"/>
        <v>#DIV/0!</v>
      </c>
      <c r="T9" s="9" t="e">
        <f t="shared" si="1"/>
        <v>#DIV/0!</v>
      </c>
      <c r="U9" s="9">
        <f t="shared" si="2"/>
        <v>3</v>
      </c>
      <c r="V9" s="9">
        <f t="shared" si="3"/>
        <v>4.0000000000000001E-3</v>
      </c>
      <c r="W9" s="9">
        <f t="shared" si="4"/>
        <v>3.6000000000000004E-2</v>
      </c>
      <c r="X9" s="9">
        <f t="shared" si="5"/>
        <v>0</v>
      </c>
      <c r="Y9" s="9"/>
      <c r="Z9" s="9"/>
    </row>
    <row r="10" spans="1:26">
      <c r="B10" s="28" t="s">
        <v>36</v>
      </c>
      <c r="C10" s="7" t="s">
        <v>32</v>
      </c>
      <c r="D10" s="14"/>
      <c r="E10" s="14"/>
      <c r="F10" s="14"/>
      <c r="G10" s="14"/>
      <c r="H10" s="14"/>
      <c r="I10" s="14"/>
      <c r="J10" s="14"/>
      <c r="K10" s="14"/>
      <c r="L10" s="14">
        <v>0.318</v>
      </c>
      <c r="M10" s="14"/>
      <c r="N10" s="14"/>
      <c r="O10" s="14"/>
      <c r="P10" s="14"/>
      <c r="Q10" s="14">
        <v>6.8000000000000005E-2</v>
      </c>
      <c r="R10" s="14"/>
      <c r="S10" s="9" t="e">
        <f t="shared" si="0"/>
        <v>#DIV/0!</v>
      </c>
      <c r="T10" s="9" t="e">
        <f t="shared" si="1"/>
        <v>#DIV/0!</v>
      </c>
      <c r="U10" s="9">
        <f t="shared" si="2"/>
        <v>2</v>
      </c>
      <c r="V10" s="9">
        <f t="shared" si="3"/>
        <v>0</v>
      </c>
      <c r="W10" s="9">
        <f t="shared" si="4"/>
        <v>0.318</v>
      </c>
      <c r="X10" s="9">
        <f t="shared" si="5"/>
        <v>6.8000000000000005E-2</v>
      </c>
      <c r="Y10" s="9"/>
      <c r="Z10" s="9"/>
    </row>
    <row r="11" spans="1:26">
      <c r="C11" s="7" t="s">
        <v>33</v>
      </c>
      <c r="D11" s="14">
        <v>0.40400000000000003</v>
      </c>
      <c r="E11" s="14">
        <v>0.65600000000000003</v>
      </c>
      <c r="F11" s="14">
        <v>0.31900000000000001</v>
      </c>
      <c r="G11" s="14">
        <v>0.318</v>
      </c>
      <c r="H11" s="14">
        <v>0.99299999999999999</v>
      </c>
      <c r="I11" s="14">
        <v>1.0820000000000001</v>
      </c>
      <c r="J11" s="14">
        <v>2.71</v>
      </c>
      <c r="K11" s="14">
        <v>1.6539999999999999</v>
      </c>
      <c r="L11" s="14">
        <v>2.1080000000000001</v>
      </c>
      <c r="M11" s="14">
        <v>0.92100000000000004</v>
      </c>
      <c r="N11" s="14">
        <v>0.88100000000000001</v>
      </c>
      <c r="O11" s="14">
        <v>1.6</v>
      </c>
      <c r="P11" s="14">
        <v>0.84299999999999997</v>
      </c>
      <c r="Q11" s="14">
        <v>2.4329999999999998</v>
      </c>
      <c r="R11" s="14">
        <v>0.42699999999999999</v>
      </c>
      <c r="S11" s="9">
        <f t="shared" si="0"/>
        <v>1.1565999999999999</v>
      </c>
      <c r="T11" s="9">
        <f t="shared" si="1"/>
        <v>0.33639573917238236</v>
      </c>
      <c r="U11" s="9">
        <f t="shared" si="2"/>
        <v>15</v>
      </c>
      <c r="V11" s="9">
        <f t="shared" si="3"/>
        <v>2.69</v>
      </c>
      <c r="W11" s="9">
        <f t="shared" si="4"/>
        <v>8.4749999999999996</v>
      </c>
      <c r="X11" s="9">
        <f t="shared" si="5"/>
        <v>6.1839999999999993</v>
      </c>
      <c r="Y11" s="9"/>
      <c r="Z11" s="9"/>
    </row>
    <row r="12" spans="1:26">
      <c r="A12" s="7" t="s">
        <v>37</v>
      </c>
      <c r="B12" s="28" t="s">
        <v>31</v>
      </c>
      <c r="C12" s="7" t="s">
        <v>32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9" t="e">
        <f t="shared" si="0"/>
        <v>#DIV/0!</v>
      </c>
      <c r="T12" s="9" t="e">
        <f t="shared" si="1"/>
        <v>#DIV/0!</v>
      </c>
      <c r="U12" s="9">
        <f t="shared" si="2"/>
        <v>0</v>
      </c>
      <c r="V12" s="9">
        <f t="shared" si="3"/>
        <v>0</v>
      </c>
      <c r="W12" s="9">
        <f t="shared" si="4"/>
        <v>0</v>
      </c>
      <c r="X12" s="9">
        <f t="shared" si="5"/>
        <v>0</v>
      </c>
      <c r="Y12" s="9"/>
      <c r="Z12" s="9"/>
    </row>
    <row r="13" spans="1:26">
      <c r="C13" s="7" t="s">
        <v>33</v>
      </c>
      <c r="D13" s="14"/>
      <c r="E13" s="14">
        <v>0.02</v>
      </c>
      <c r="F13" s="14">
        <v>7.0000000000000001E-3</v>
      </c>
      <c r="G13" s="14">
        <v>1.2E-2</v>
      </c>
      <c r="H13" s="14">
        <v>1.2E-2</v>
      </c>
      <c r="I13" s="14">
        <v>2E-3</v>
      </c>
      <c r="J13" s="15"/>
      <c r="K13" s="15"/>
      <c r="L13" s="14"/>
      <c r="M13" s="14">
        <v>0.11899999999999999</v>
      </c>
      <c r="N13" s="14"/>
      <c r="O13" s="14"/>
      <c r="P13" s="14">
        <v>8.9999999999999993E-3</v>
      </c>
      <c r="Q13" s="14">
        <v>3.0000000000000001E-3</v>
      </c>
      <c r="R13" s="14"/>
      <c r="S13" s="9">
        <f t="shared" si="0"/>
        <v>2.6416666666666668E-2</v>
      </c>
      <c r="T13" s="9">
        <f t="shared" si="1"/>
        <v>1.7152704678206808E-2</v>
      </c>
      <c r="U13" s="9">
        <f t="shared" si="2"/>
        <v>8</v>
      </c>
      <c r="V13" s="9">
        <f t="shared" si="3"/>
        <v>5.1000000000000004E-2</v>
      </c>
      <c r="W13" s="9">
        <f t="shared" si="4"/>
        <v>0.121</v>
      </c>
      <c r="X13" s="9">
        <f t="shared" si="5"/>
        <v>1.2E-2</v>
      </c>
      <c r="Y13" s="9"/>
      <c r="Z13" s="9"/>
    </row>
    <row r="14" spans="1:26">
      <c r="B14" s="28" t="s">
        <v>34</v>
      </c>
      <c r="C14" s="7" t="s">
        <v>32</v>
      </c>
      <c r="D14" s="14"/>
      <c r="E14" s="14"/>
      <c r="F14" s="14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4"/>
      <c r="R14" s="14"/>
      <c r="S14" s="9" t="e">
        <f t="shared" si="0"/>
        <v>#DIV/0!</v>
      </c>
      <c r="T14" s="9" t="e">
        <f t="shared" si="1"/>
        <v>#DIV/0!</v>
      </c>
      <c r="U14" s="9">
        <f t="shared" si="2"/>
        <v>0</v>
      </c>
      <c r="V14" s="9">
        <f t="shared" si="3"/>
        <v>0</v>
      </c>
      <c r="W14" s="9">
        <f t="shared" si="4"/>
        <v>0</v>
      </c>
      <c r="X14" s="9">
        <f t="shared" si="5"/>
        <v>0</v>
      </c>
      <c r="Y14" s="9"/>
      <c r="Z14" s="9"/>
    </row>
    <row r="15" spans="1:26">
      <c r="C15" s="7" t="s">
        <v>33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>
        <v>1.0999999999999999E-2</v>
      </c>
      <c r="P15" s="14"/>
      <c r="Q15" s="14"/>
      <c r="R15" s="14"/>
      <c r="S15" s="9" t="e">
        <f t="shared" si="0"/>
        <v>#DIV/0!</v>
      </c>
      <c r="T15" s="9" t="e">
        <f t="shared" si="1"/>
        <v>#DIV/0!</v>
      </c>
      <c r="U15" s="9">
        <f t="shared" si="2"/>
        <v>1</v>
      </c>
      <c r="V15" s="9">
        <f t="shared" si="3"/>
        <v>0</v>
      </c>
      <c r="W15" s="9">
        <f t="shared" si="4"/>
        <v>0</v>
      </c>
      <c r="X15" s="9">
        <f t="shared" si="5"/>
        <v>1.0999999999999999E-2</v>
      </c>
      <c r="Y15" s="9"/>
      <c r="Z15" s="9"/>
    </row>
    <row r="16" spans="1:26">
      <c r="B16" s="28" t="s">
        <v>36</v>
      </c>
      <c r="C16" s="7" t="s">
        <v>32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9" t="e">
        <f t="shared" si="0"/>
        <v>#DIV/0!</v>
      </c>
      <c r="T16" s="9" t="e">
        <f t="shared" si="1"/>
        <v>#DIV/0!</v>
      </c>
      <c r="U16" s="9">
        <f t="shared" si="2"/>
        <v>0</v>
      </c>
      <c r="V16" s="9">
        <f t="shared" si="3"/>
        <v>0</v>
      </c>
      <c r="W16" s="9">
        <f t="shared" si="4"/>
        <v>0</v>
      </c>
      <c r="X16" s="9">
        <f t="shared" si="5"/>
        <v>0</v>
      </c>
      <c r="Y16" s="9"/>
      <c r="Z16" s="9"/>
    </row>
    <row r="17" spans="1:26">
      <c r="C17" s="7" t="s">
        <v>33</v>
      </c>
      <c r="D17" s="14">
        <v>0.89600000000000002</v>
      </c>
      <c r="E17" s="14">
        <v>2.9000000000000001E-2</v>
      </c>
      <c r="F17" s="14">
        <v>1.4359999999999999</v>
      </c>
      <c r="G17" s="14">
        <v>0.79900000000000004</v>
      </c>
      <c r="H17" s="14">
        <v>0.28799999999999998</v>
      </c>
      <c r="I17" s="14">
        <v>0.72799999999999998</v>
      </c>
      <c r="J17" s="14">
        <v>0.33400000000000002</v>
      </c>
      <c r="K17" s="14">
        <v>0.30199999999999999</v>
      </c>
      <c r="L17" s="14">
        <v>0.28699999999999998</v>
      </c>
      <c r="M17" s="14">
        <v>0.76400000000000001</v>
      </c>
      <c r="N17" s="14">
        <v>0.63900000000000001</v>
      </c>
      <c r="O17" s="14">
        <v>0.72699999999999998</v>
      </c>
      <c r="P17" s="14">
        <v>0.60899999999999999</v>
      </c>
      <c r="Q17" s="14">
        <v>0.29699999999999999</v>
      </c>
      <c r="R17" s="14">
        <v>0.879</v>
      </c>
      <c r="S17" s="9">
        <f t="shared" si="0"/>
        <v>0.60093333333333332</v>
      </c>
      <c r="T17" s="9">
        <f t="shared" si="1"/>
        <v>6.1409264592386784E-2</v>
      </c>
      <c r="U17" s="9">
        <f t="shared" si="2"/>
        <v>15</v>
      </c>
      <c r="V17" s="9">
        <f t="shared" si="3"/>
        <v>3.4479999999999995</v>
      </c>
      <c r="W17" s="9">
        <f t="shared" si="4"/>
        <v>2.415</v>
      </c>
      <c r="X17" s="9">
        <f t="shared" si="5"/>
        <v>3.1510000000000002</v>
      </c>
      <c r="Y17" s="9"/>
      <c r="Z17" s="9"/>
    </row>
    <row r="18" spans="1:26">
      <c r="A18" s="7" t="s">
        <v>38</v>
      </c>
      <c r="B18" s="28" t="s">
        <v>31</v>
      </c>
      <c r="C18" s="7" t="s">
        <v>32</v>
      </c>
      <c r="D18" s="14"/>
      <c r="E18" s="32"/>
      <c r="F18" s="14"/>
      <c r="G18" s="14"/>
      <c r="H18" s="32"/>
      <c r="I18" s="14"/>
      <c r="J18" s="32"/>
      <c r="K18" s="14"/>
      <c r="L18" s="14"/>
      <c r="M18" s="32"/>
      <c r="N18" s="14"/>
      <c r="O18" s="14"/>
      <c r="P18" s="14"/>
      <c r="Q18" s="32"/>
      <c r="R18" s="32"/>
      <c r="S18" s="9" t="e">
        <f t="shared" si="0"/>
        <v>#DIV/0!</v>
      </c>
      <c r="T18" s="9" t="e">
        <f t="shared" si="1"/>
        <v>#DIV/0!</v>
      </c>
      <c r="U18" s="9">
        <f t="shared" si="2"/>
        <v>0</v>
      </c>
      <c r="V18" s="9">
        <f t="shared" si="3"/>
        <v>0</v>
      </c>
      <c r="W18" s="9">
        <f t="shared" si="4"/>
        <v>0</v>
      </c>
      <c r="X18" s="9">
        <f t="shared" si="5"/>
        <v>0</v>
      </c>
      <c r="Y18" s="9"/>
      <c r="Z18" s="9"/>
    </row>
    <row r="19" spans="1:26">
      <c r="C19" s="7" t="s">
        <v>33</v>
      </c>
      <c r="D19" s="14">
        <v>6.8000000000000005E-2</v>
      </c>
      <c r="E19" s="32"/>
      <c r="F19" s="14"/>
      <c r="G19" s="14">
        <v>2.7E-2</v>
      </c>
      <c r="H19" s="32"/>
      <c r="I19" s="14">
        <v>1.2E-2</v>
      </c>
      <c r="J19" s="32"/>
      <c r="K19" s="14"/>
      <c r="L19" s="14"/>
      <c r="M19" s="32"/>
      <c r="N19" s="14">
        <v>4.4999999999999998E-2</v>
      </c>
      <c r="O19" s="14">
        <v>0.01</v>
      </c>
      <c r="P19" s="14"/>
      <c r="Q19" s="32"/>
      <c r="R19" s="32"/>
      <c r="S19" s="9">
        <f t="shared" si="0"/>
        <v>2.8999999999999998E-2</v>
      </c>
      <c r="T19" s="9">
        <f t="shared" si="1"/>
        <v>1.0275375094532239E-2</v>
      </c>
      <c r="U19" s="9">
        <f t="shared" si="2"/>
        <v>5</v>
      </c>
      <c r="V19" s="9">
        <f t="shared" si="3"/>
        <v>9.5000000000000001E-2</v>
      </c>
      <c r="W19" s="9">
        <f t="shared" si="4"/>
        <v>1.2E-2</v>
      </c>
      <c r="X19" s="9">
        <f t="shared" si="5"/>
        <v>5.5E-2</v>
      </c>
      <c r="Y19" s="9"/>
      <c r="Z19" s="9"/>
    </row>
    <row r="20" spans="1:26" s="16" customFormat="1">
      <c r="A20" s="7"/>
      <c r="B20" s="28" t="s">
        <v>34</v>
      </c>
      <c r="C20" s="7" t="s">
        <v>32</v>
      </c>
      <c r="D20" s="14"/>
      <c r="E20" s="32"/>
      <c r="F20" s="14"/>
      <c r="G20" s="14"/>
      <c r="H20" s="32"/>
      <c r="I20" s="14"/>
      <c r="J20" s="32"/>
      <c r="K20" s="14"/>
      <c r="L20" s="14"/>
      <c r="M20" s="32"/>
      <c r="N20" s="14"/>
      <c r="O20" s="14"/>
      <c r="P20" s="14"/>
      <c r="Q20" s="32"/>
      <c r="R20" s="32"/>
      <c r="S20" s="9" t="e">
        <f t="shared" si="0"/>
        <v>#DIV/0!</v>
      </c>
      <c r="T20" s="9" t="e">
        <f t="shared" si="1"/>
        <v>#DIV/0!</v>
      </c>
      <c r="U20" s="9">
        <f t="shared" si="2"/>
        <v>0</v>
      </c>
      <c r="V20" s="9">
        <f t="shared" si="3"/>
        <v>0</v>
      </c>
      <c r="W20" s="9">
        <f t="shared" si="4"/>
        <v>0</v>
      </c>
      <c r="X20" s="9">
        <f t="shared" si="5"/>
        <v>0</v>
      </c>
      <c r="Y20" s="19"/>
      <c r="Z20" s="19"/>
    </row>
    <row r="21" spans="1:26">
      <c r="C21" s="7" t="s">
        <v>33</v>
      </c>
      <c r="D21" s="14"/>
      <c r="E21" s="32"/>
      <c r="F21" s="14"/>
      <c r="G21" s="14"/>
      <c r="H21" s="32"/>
      <c r="I21" s="14"/>
      <c r="J21" s="32"/>
      <c r="K21" s="14"/>
      <c r="L21" s="14"/>
      <c r="M21" s="32"/>
      <c r="N21" s="14"/>
      <c r="O21" s="14"/>
      <c r="P21" s="14">
        <v>1.4999999999999999E-2</v>
      </c>
      <c r="Q21" s="32"/>
      <c r="R21" s="32"/>
      <c r="S21" s="9" t="e">
        <f t="shared" si="0"/>
        <v>#DIV/0!</v>
      </c>
      <c r="T21" s="9" t="e">
        <f t="shared" si="1"/>
        <v>#DIV/0!</v>
      </c>
      <c r="U21" s="9">
        <f t="shared" si="2"/>
        <v>1</v>
      </c>
      <c r="V21" s="9">
        <f t="shared" si="3"/>
        <v>0</v>
      </c>
      <c r="W21" s="9">
        <f t="shared" si="4"/>
        <v>0</v>
      </c>
      <c r="X21" s="9">
        <f t="shared" si="5"/>
        <v>1.4999999999999999E-2</v>
      </c>
      <c r="Y21" s="9"/>
      <c r="Z21" s="9"/>
    </row>
    <row r="22" spans="1:26">
      <c r="B22" s="28" t="s">
        <v>36</v>
      </c>
      <c r="C22" s="7" t="s">
        <v>32</v>
      </c>
      <c r="D22" s="14"/>
      <c r="E22" s="32"/>
      <c r="F22" s="14"/>
      <c r="G22" s="14"/>
      <c r="H22" s="32"/>
      <c r="I22" s="14"/>
      <c r="J22" s="32"/>
      <c r="K22" s="14"/>
      <c r="L22" s="14"/>
      <c r="M22" s="32"/>
      <c r="N22" s="14"/>
      <c r="O22" s="14"/>
      <c r="P22" s="14"/>
      <c r="Q22" s="32"/>
      <c r="R22" s="32"/>
      <c r="S22" s="9" t="e">
        <f t="shared" si="0"/>
        <v>#DIV/0!</v>
      </c>
      <c r="T22" s="9" t="e">
        <f t="shared" si="1"/>
        <v>#DIV/0!</v>
      </c>
      <c r="U22" s="9">
        <f t="shared" si="2"/>
        <v>0</v>
      </c>
      <c r="V22" s="9">
        <f t="shared" si="3"/>
        <v>0</v>
      </c>
      <c r="W22" s="9">
        <f t="shared" si="4"/>
        <v>0</v>
      </c>
      <c r="X22" s="9">
        <f t="shared" si="5"/>
        <v>0</v>
      </c>
      <c r="Y22" s="9"/>
      <c r="Z22" s="9"/>
    </row>
    <row r="23" spans="1:26">
      <c r="C23" s="7" t="s">
        <v>33</v>
      </c>
      <c r="D23" s="14">
        <v>0.82699999999999996</v>
      </c>
      <c r="E23" s="32"/>
      <c r="F23" s="14">
        <v>0.65800000000000003</v>
      </c>
      <c r="G23" s="14">
        <v>0.501</v>
      </c>
      <c r="H23" s="32"/>
      <c r="I23" s="14">
        <v>0.26400000000000001</v>
      </c>
      <c r="J23" s="32"/>
      <c r="K23" s="14">
        <v>9.8000000000000004E-2</v>
      </c>
      <c r="L23" s="14">
        <v>0.29899999999999999</v>
      </c>
      <c r="M23" s="32"/>
      <c r="N23" s="14">
        <v>0.35599999999999998</v>
      </c>
      <c r="O23" s="14">
        <v>4.8000000000000001E-2</v>
      </c>
      <c r="P23" s="14">
        <v>1.014</v>
      </c>
      <c r="Q23" s="32"/>
      <c r="R23" s="32"/>
      <c r="S23" s="9">
        <f t="shared" si="0"/>
        <v>0.45166666666666666</v>
      </c>
      <c r="T23" s="9">
        <f t="shared" si="1"/>
        <v>0.12792981293286176</v>
      </c>
      <c r="U23" s="9">
        <f t="shared" si="2"/>
        <v>9</v>
      </c>
      <c r="V23" s="9">
        <f t="shared" si="3"/>
        <v>1.9859999999999998</v>
      </c>
      <c r="W23" s="9">
        <f t="shared" si="4"/>
        <v>0.66100000000000003</v>
      </c>
      <c r="X23" s="9">
        <f t="shared" si="5"/>
        <v>1.4179999999999999</v>
      </c>
      <c r="Y23" s="9"/>
      <c r="Z23" s="9"/>
    </row>
    <row r="24" spans="1:26"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V24" s="9"/>
      <c r="W24" s="9"/>
      <c r="X24" s="9"/>
      <c r="Y24" s="9"/>
      <c r="Z24" s="9"/>
    </row>
    <row r="25" spans="1:26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V25" s="9"/>
      <c r="W25" s="9"/>
      <c r="X25" s="9"/>
      <c r="Y25" s="9"/>
      <c r="Z25" s="9"/>
    </row>
    <row r="26" spans="1:26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V26" s="9"/>
      <c r="W26" s="9"/>
      <c r="X26" s="9"/>
      <c r="Y26" s="9"/>
      <c r="Z26" s="9"/>
    </row>
    <row r="27" spans="1:26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V27" s="9"/>
      <c r="W27" s="9"/>
      <c r="X27" s="9"/>
      <c r="Y27" s="9"/>
      <c r="Z27" s="9"/>
    </row>
    <row r="28" spans="1:26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V28" s="9"/>
      <c r="W28" s="9"/>
      <c r="X28" s="9"/>
      <c r="Y28" s="9"/>
      <c r="Z28" s="9"/>
    </row>
    <row r="29" spans="1:26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V29" s="9"/>
      <c r="W29" s="9"/>
      <c r="X29" s="9"/>
      <c r="Y29" s="9"/>
      <c r="Z29" s="9"/>
    </row>
    <row r="30" spans="1:26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V30" s="9"/>
      <c r="W30" s="9"/>
      <c r="X30" s="9"/>
      <c r="Y30" s="9"/>
      <c r="Z30" s="9"/>
    </row>
    <row r="31" spans="1:26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V31" s="9"/>
      <c r="W31" s="9"/>
      <c r="X31" s="9"/>
      <c r="Y31" s="9"/>
      <c r="Z31" s="9"/>
    </row>
    <row r="32" spans="1:26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V32" s="9"/>
      <c r="W32" s="9"/>
      <c r="X32" s="9"/>
      <c r="Y32" s="9"/>
      <c r="Z32" s="9"/>
    </row>
    <row r="33" spans="2:26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V33" s="9"/>
      <c r="W33" s="9"/>
      <c r="X33" s="9"/>
      <c r="Y33" s="9"/>
      <c r="Z33" s="9"/>
    </row>
    <row r="34" spans="2:26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V34" s="9"/>
      <c r="W34" s="9"/>
      <c r="X34" s="9"/>
      <c r="Y34" s="9"/>
      <c r="Z34" s="9"/>
    </row>
    <row r="35" spans="2:26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9"/>
      <c r="W35" s="9"/>
      <c r="X35" s="9"/>
      <c r="Y35" s="9"/>
      <c r="Z35" s="9"/>
    </row>
    <row r="36" spans="2:26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V36" s="9"/>
      <c r="W36" s="9"/>
      <c r="X36" s="9"/>
      <c r="Y36" s="9"/>
      <c r="Z36" s="9"/>
    </row>
    <row r="37" spans="2:26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V37" s="9"/>
      <c r="W37" s="9"/>
      <c r="X37" s="9"/>
      <c r="Y37" s="9"/>
      <c r="Z37" s="9"/>
    </row>
    <row r="38" spans="2:26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V38" s="9"/>
      <c r="W38" s="9"/>
      <c r="X38" s="9"/>
      <c r="Y38" s="9"/>
      <c r="Z38" s="9"/>
    </row>
    <row r="39" spans="2:26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9"/>
      <c r="W39" s="9"/>
      <c r="X39" s="9"/>
      <c r="Y39" s="9"/>
      <c r="Z39" s="9"/>
    </row>
    <row r="40" spans="2:26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V40" s="9"/>
      <c r="W40" s="9"/>
      <c r="X40" s="9"/>
      <c r="Y40" s="9"/>
      <c r="Z40" s="9"/>
    </row>
    <row r="41" spans="2:26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V41" s="9"/>
      <c r="W41" s="9"/>
      <c r="X41" s="9"/>
      <c r="Y41" s="9"/>
      <c r="Z41" s="9"/>
    </row>
    <row r="42" spans="2:26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V42" s="9"/>
      <c r="W42" s="9"/>
      <c r="X42" s="9"/>
      <c r="Y42" s="9"/>
      <c r="Z42" s="9"/>
    </row>
    <row r="43" spans="2:26" s="16" customFormat="1">
      <c r="B43" s="29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9"/>
      <c r="T43" s="9"/>
      <c r="U43" s="9"/>
      <c r="V43" s="19"/>
      <c r="W43" s="19"/>
      <c r="X43" s="19"/>
      <c r="Y43" s="19"/>
      <c r="Z43" s="19"/>
    </row>
    <row r="44" spans="2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V44" s="9"/>
      <c r="W44" s="9"/>
      <c r="X44" s="9"/>
      <c r="Y44" s="9"/>
      <c r="Z44" s="9"/>
    </row>
    <row r="45" spans="2:26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V45" s="9"/>
      <c r="W45" s="9"/>
      <c r="X45" s="9"/>
      <c r="Y45" s="9"/>
      <c r="Z45" s="9"/>
    </row>
    <row r="46" spans="2:26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V46" s="9"/>
      <c r="W46" s="9"/>
      <c r="X46" s="9"/>
      <c r="Y46" s="9"/>
      <c r="Z46" s="9"/>
    </row>
    <row r="47" spans="2:26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9"/>
      <c r="W47" s="9"/>
      <c r="X47" s="9"/>
      <c r="Y47" s="9"/>
      <c r="Z47" s="9"/>
    </row>
    <row r="48" spans="2:26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V48" s="9"/>
      <c r="W48" s="9"/>
      <c r="X48" s="9"/>
      <c r="Y48" s="9"/>
      <c r="Z48" s="9"/>
    </row>
    <row r="49" spans="4:26"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V49" s="9"/>
      <c r="W49" s="9"/>
      <c r="X49" s="9"/>
      <c r="Y49" s="9"/>
      <c r="Z49" s="9"/>
    </row>
    <row r="50" spans="4:26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V50" s="9"/>
      <c r="W50" s="9"/>
      <c r="X50" s="9"/>
      <c r="Y50" s="9"/>
      <c r="Z50" s="9"/>
    </row>
    <row r="51" spans="4:26"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9"/>
      <c r="W51" s="9"/>
      <c r="X51" s="9"/>
      <c r="Y51" s="9"/>
      <c r="Z51" s="9"/>
    </row>
    <row r="52" spans="4:26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V52" s="9"/>
      <c r="W52" s="9"/>
      <c r="X52" s="9"/>
      <c r="Y52" s="9"/>
      <c r="Z52" s="9"/>
    </row>
    <row r="53" spans="4:26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V53" s="9"/>
      <c r="W53" s="9"/>
      <c r="X53" s="9"/>
      <c r="Y53" s="9"/>
      <c r="Z53" s="9"/>
    </row>
    <row r="54" spans="4:26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V54" s="9"/>
      <c r="W54" s="9"/>
      <c r="X54" s="9"/>
      <c r="Y54" s="9"/>
      <c r="Z54" s="9"/>
    </row>
    <row r="55" spans="4:26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9"/>
      <c r="W55" s="9"/>
      <c r="X55" s="9"/>
      <c r="Y55" s="9"/>
      <c r="Z55" s="9"/>
    </row>
    <row r="56" spans="4:26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V56" s="9"/>
      <c r="W56" s="9"/>
      <c r="X56" s="9"/>
      <c r="Y56" s="9"/>
      <c r="Z56" s="9"/>
    </row>
    <row r="57" spans="4:26">
      <c r="D57" s="14"/>
      <c r="E57" s="14"/>
      <c r="F57" s="14"/>
      <c r="G57" s="14"/>
      <c r="H57" s="14"/>
      <c r="I57" s="14"/>
      <c r="J57" s="15"/>
      <c r="K57" s="15"/>
      <c r="L57" s="14"/>
      <c r="M57" s="14"/>
      <c r="N57" s="15"/>
      <c r="O57" s="15"/>
      <c r="P57" s="15"/>
      <c r="Q57" s="15"/>
      <c r="R57" s="15"/>
      <c r="V57" s="9"/>
      <c r="W57" s="9"/>
      <c r="X57" s="9"/>
      <c r="Y57" s="9"/>
      <c r="Z57" s="9"/>
    </row>
    <row r="58" spans="4:26">
      <c r="D58" s="14"/>
      <c r="E58" s="14"/>
      <c r="F58" s="14"/>
      <c r="G58" s="14"/>
      <c r="H58" s="14"/>
      <c r="I58" s="15"/>
      <c r="J58" s="14"/>
      <c r="K58" s="14"/>
      <c r="L58" s="14"/>
      <c r="M58" s="14"/>
      <c r="N58" s="14"/>
      <c r="O58" s="15"/>
      <c r="P58" s="15"/>
      <c r="Q58" s="15"/>
      <c r="R58" s="15"/>
      <c r="V58" s="9"/>
      <c r="W58" s="9"/>
      <c r="X58" s="9"/>
      <c r="Y58" s="9"/>
      <c r="Z58" s="9"/>
    </row>
    <row r="59" spans="4:26">
      <c r="D59" s="14"/>
      <c r="E59" s="15"/>
      <c r="F59" s="14"/>
      <c r="G59" s="15"/>
      <c r="H59" s="14"/>
      <c r="I59" s="15"/>
      <c r="J59" s="15"/>
      <c r="K59" s="14"/>
      <c r="L59" s="14"/>
      <c r="M59" s="15"/>
      <c r="N59" s="14"/>
      <c r="O59" s="14"/>
      <c r="P59" s="14"/>
      <c r="Q59" s="14"/>
      <c r="R59" s="14"/>
      <c r="V59" s="9"/>
      <c r="W59" s="9"/>
      <c r="X59" s="9"/>
      <c r="Y59" s="9"/>
      <c r="Z59" s="9"/>
    </row>
    <row r="60" spans="4:26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V60" s="9"/>
      <c r="W60" s="9"/>
      <c r="X60" s="9"/>
      <c r="Y60" s="9"/>
      <c r="Z60" s="9"/>
    </row>
    <row r="61" spans="4:26"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V61" s="9"/>
      <c r="W61" s="9"/>
      <c r="X61" s="9"/>
      <c r="Y61" s="9"/>
      <c r="Z61" s="9"/>
    </row>
    <row r="62" spans="4:26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V62" s="9"/>
      <c r="W62" s="9"/>
      <c r="X62" s="9"/>
      <c r="Y62" s="9"/>
      <c r="Z62" s="9"/>
    </row>
    <row r="63" spans="4:26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9"/>
      <c r="W63" s="9"/>
      <c r="X63" s="9"/>
      <c r="Y63" s="9"/>
      <c r="Z63" s="9"/>
    </row>
    <row r="64" spans="4:26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V64" s="9"/>
      <c r="W64" s="9"/>
      <c r="X64" s="9"/>
      <c r="Y64" s="9"/>
      <c r="Z64" s="9"/>
    </row>
    <row r="65" spans="2:26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V65" s="9"/>
      <c r="W65" s="9"/>
      <c r="X65" s="9"/>
      <c r="Y65" s="9"/>
      <c r="Z65" s="9"/>
    </row>
    <row r="66" spans="2:26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V66" s="9"/>
      <c r="W66" s="9"/>
      <c r="X66" s="9"/>
      <c r="Y66" s="9"/>
      <c r="Z66" s="9"/>
    </row>
    <row r="67" spans="2:26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9"/>
      <c r="W67" s="9"/>
      <c r="X67" s="9"/>
      <c r="Y67" s="9"/>
      <c r="Z67" s="9"/>
    </row>
    <row r="68" spans="2:26"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V68" s="9"/>
      <c r="W68" s="9"/>
      <c r="X68" s="9"/>
      <c r="Y68" s="9"/>
      <c r="Z68" s="9"/>
    </row>
    <row r="69" spans="2:26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V69" s="9"/>
      <c r="W69" s="9"/>
      <c r="X69" s="9"/>
      <c r="Y69" s="9"/>
      <c r="Z69" s="9"/>
    </row>
    <row r="70" spans="2:26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V70" s="9"/>
      <c r="W70" s="9"/>
      <c r="X70" s="9"/>
      <c r="Y70" s="9"/>
      <c r="Z70" s="9"/>
    </row>
    <row r="71" spans="2:26" s="16" customFormat="1">
      <c r="B71" s="29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9"/>
      <c r="T71" s="9"/>
      <c r="U71" s="9"/>
      <c r="V71" s="19"/>
      <c r="W71" s="19"/>
      <c r="X71" s="19"/>
      <c r="Y71" s="19"/>
      <c r="Z71" s="19"/>
    </row>
    <row r="72" spans="2:26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5"/>
      <c r="O72" s="14"/>
      <c r="P72" s="14"/>
      <c r="Q72" s="14"/>
      <c r="R72" s="14"/>
      <c r="V72" s="9"/>
      <c r="W72" s="9"/>
      <c r="X72" s="9"/>
      <c r="Y72" s="9"/>
      <c r="Z72" s="9"/>
    </row>
    <row r="73" spans="2:26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V73" s="9"/>
      <c r="W73" s="9"/>
      <c r="X73" s="9"/>
      <c r="Y73" s="9"/>
      <c r="Z73" s="9"/>
    </row>
    <row r="74" spans="2:26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V74" s="9"/>
      <c r="W74" s="9"/>
      <c r="X74" s="9"/>
      <c r="Y74" s="9"/>
      <c r="Z74" s="9"/>
    </row>
    <row r="75" spans="2:26">
      <c r="C75" s="16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9"/>
      <c r="W75" s="9"/>
      <c r="X75" s="9"/>
      <c r="Y75" s="9"/>
      <c r="Z75" s="9"/>
    </row>
    <row r="76" spans="2:26"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V76" s="9"/>
      <c r="W76" s="9"/>
      <c r="X76" s="9"/>
      <c r="Y76" s="9"/>
      <c r="Z76" s="9"/>
    </row>
    <row r="77" spans="2:26">
      <c r="C77" s="16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V77" s="9"/>
      <c r="W77" s="9"/>
      <c r="X77" s="9"/>
      <c r="Y77" s="9"/>
      <c r="Z77" s="9"/>
    </row>
    <row r="78" spans="2:26">
      <c r="D78" s="14"/>
      <c r="E78" s="14"/>
      <c r="F78" s="14"/>
      <c r="G78" s="1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2:26" s="16" customFormat="1">
      <c r="B79" s="29"/>
      <c r="D79" s="14"/>
      <c r="E79" s="14"/>
      <c r="F79" s="14"/>
      <c r="G79" s="18"/>
      <c r="H79" s="14"/>
      <c r="I79" s="14"/>
      <c r="J79" s="14"/>
      <c r="K79" s="14"/>
      <c r="L79" s="14"/>
      <c r="M79" s="14"/>
      <c r="N79" s="14"/>
      <c r="O79" s="17"/>
      <c r="P79" s="14"/>
      <c r="Q79" s="14"/>
      <c r="R79" s="14"/>
      <c r="S79" s="9"/>
      <c r="T79" s="9"/>
      <c r="U79" s="9"/>
    </row>
    <row r="80" spans="2:26"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2:149" s="16" customFormat="1">
      <c r="B81" s="29"/>
      <c r="D81" s="17"/>
      <c r="E81" s="17"/>
      <c r="F81" s="17"/>
      <c r="G81" s="17"/>
      <c r="H81" s="14"/>
      <c r="I81" s="17"/>
      <c r="J81" s="17"/>
      <c r="K81" s="17"/>
      <c r="L81" s="17"/>
      <c r="M81" s="17"/>
      <c r="N81" s="17"/>
      <c r="O81" s="17"/>
      <c r="P81" s="14"/>
      <c r="Q81" s="14"/>
      <c r="R81" s="14"/>
      <c r="S81" s="9"/>
      <c r="T81" s="9"/>
      <c r="U81" s="9"/>
    </row>
    <row r="82" spans="2:149" s="16" customFormat="1">
      <c r="B82" s="29"/>
      <c r="D82" s="17"/>
      <c r="E82" s="17"/>
      <c r="F82" s="14"/>
      <c r="G82" s="14"/>
      <c r="H82" s="17"/>
      <c r="I82" s="17"/>
      <c r="J82" s="17"/>
      <c r="K82" s="17"/>
      <c r="L82" s="17"/>
      <c r="M82" s="17"/>
      <c r="N82" s="17"/>
      <c r="O82" s="14"/>
      <c r="P82" s="14"/>
      <c r="Q82" s="14"/>
      <c r="R82" s="14"/>
      <c r="S82" s="9"/>
      <c r="T82" s="9"/>
      <c r="U82" s="9"/>
    </row>
    <row r="83" spans="2:149" s="20" customFormat="1">
      <c r="B83" s="30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4"/>
      <c r="Q83" s="14"/>
      <c r="R83" s="14"/>
      <c r="S83" s="9"/>
      <c r="T83" s="9"/>
      <c r="U83" s="9"/>
    </row>
    <row r="84" spans="2:149" s="22" customFormat="1">
      <c r="B84" s="31"/>
      <c r="D84" s="23"/>
      <c r="E84" s="23"/>
      <c r="F84" s="24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9"/>
      <c r="T84" s="9"/>
      <c r="U84" s="9"/>
    </row>
    <row r="85" spans="2:149" s="22" customFormat="1">
      <c r="B85" s="31"/>
      <c r="D85" s="23"/>
      <c r="E85" s="24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9"/>
      <c r="T85" s="9"/>
      <c r="U85" s="9"/>
    </row>
    <row r="86" spans="2:149" s="22" customFormat="1">
      <c r="B86" s="31"/>
      <c r="D86" s="23"/>
      <c r="E86" s="23"/>
      <c r="F86" s="24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9"/>
      <c r="T86" s="9"/>
      <c r="U86" s="9"/>
    </row>
    <row r="88" spans="2:149"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</row>
    <row r="89" spans="2:149"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</row>
    <row r="90" spans="2:149"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</row>
    <row r="91" spans="2:149"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</row>
    <row r="92" spans="2:149"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</row>
    <row r="93" spans="2:149"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</row>
    <row r="94" spans="2:149"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</row>
    <row r="95" spans="2:149"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</row>
    <row r="96" spans="2:149"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</row>
    <row r="97" spans="22:149"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</row>
    <row r="98" spans="22:149"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</row>
    <row r="99" spans="22:149"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</row>
    <row r="100" spans="22:149"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</row>
    <row r="101" spans="22:149"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</row>
    <row r="102" spans="22:149"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</row>
    <row r="103" spans="22:149"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</row>
    <row r="104" spans="22:149"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</row>
    <row r="105" spans="22:149"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</row>
    <row r="106" spans="22:149"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</row>
    <row r="107" spans="22:149"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</row>
    <row r="108" spans="22:149"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</row>
    <row r="109" spans="22:149"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</row>
    <row r="110" spans="22:149"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</row>
    <row r="111" spans="22:149"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</row>
    <row r="112" spans="22:149"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</row>
    <row r="113" spans="22:149"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</row>
    <row r="114" spans="22:149"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</row>
    <row r="115" spans="22:149"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</row>
    <row r="116" spans="22:149"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</row>
    <row r="117" spans="22:149"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</row>
    <row r="118" spans="22:149"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</row>
    <row r="119" spans="22:149"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</row>
    <row r="120" spans="22:149"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</row>
    <row r="121" spans="22:149"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</row>
    <row r="122" spans="22:149"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</row>
    <row r="123" spans="22:149"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</row>
    <row r="124" spans="22:149"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</row>
    <row r="125" spans="22:149"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</row>
    <row r="126" spans="22:149"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</row>
    <row r="127" spans="22:149"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</row>
    <row r="128" spans="22:149"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</row>
    <row r="129" spans="22:149"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</row>
    <row r="130" spans="22:149"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</row>
    <row r="131" spans="22:149"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</row>
    <row r="132" spans="22:149"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</row>
    <row r="133" spans="22:149"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</row>
    <row r="134" spans="22:149"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</row>
    <row r="135" spans="22:149"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</row>
    <row r="136" spans="22:149"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</row>
    <row r="137" spans="22:149"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</row>
    <row r="138" spans="22:149"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</row>
    <row r="139" spans="22:149"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</row>
    <row r="140" spans="22:149"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</row>
    <row r="141" spans="22:149"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</row>
    <row r="142" spans="22:149"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</row>
    <row r="143" spans="22:149"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</row>
    <row r="144" spans="22:149"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</row>
    <row r="145" spans="22:149"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</row>
    <row r="146" spans="22:149"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</row>
    <row r="147" spans="22:149"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</row>
    <row r="148" spans="22:149"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</row>
    <row r="149" spans="22:149"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</row>
    <row r="150" spans="22:149"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</row>
    <row r="151" spans="22:149"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</row>
    <row r="152" spans="22:149"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</row>
    <row r="153" spans="22:149"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</row>
    <row r="154" spans="22:149"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</row>
    <row r="155" spans="22:149"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</row>
    <row r="156" spans="22:149"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</row>
    <row r="157" spans="22:149"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</row>
    <row r="158" spans="22:149"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</row>
    <row r="159" spans="22:149"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</row>
    <row r="160" spans="22:149"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</row>
    <row r="161" spans="22:149"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</row>
    <row r="162" spans="22:149"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</row>
    <row r="163" spans="22:149"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</row>
    <row r="164" spans="22:149"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</row>
    <row r="165" spans="22:149"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</row>
    <row r="166" spans="22:149"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</row>
    <row r="167" spans="22:149"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</row>
    <row r="168" spans="22:149"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</row>
    <row r="169" spans="22:149"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</row>
    <row r="170" spans="22:149"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</row>
    <row r="171" spans="22:149"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</row>
    <row r="172" spans="22:149"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</row>
    <row r="173" spans="22:149"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</row>
    <row r="174" spans="22:149"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</row>
    <row r="175" spans="22:149"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</row>
    <row r="176" spans="22:149"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</row>
    <row r="177" spans="22:149"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</row>
    <row r="178" spans="22:149"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</row>
    <row r="179" spans="22:149"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</row>
    <row r="180" spans="22:149"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</row>
    <row r="181" spans="22:149"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</row>
    <row r="182" spans="22:149"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</row>
    <row r="183" spans="22:149"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</row>
    <row r="184" spans="22:149"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</row>
    <row r="185" spans="22:149"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</row>
    <row r="186" spans="22:149"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</row>
    <row r="187" spans="22:149"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</row>
  </sheetData>
  <printOptions gridLines="1" gridLinesSet="0"/>
  <pageMargins left="0.35" right="0.75" top="0.62" bottom="0.63" header="0.5" footer="0.5"/>
  <pageSetup scale="70" orientation="landscape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3"/>
  <sheetViews>
    <sheetView tabSelected="1" workbookViewId="0">
      <pane xSplit="3" ySplit="3" topLeftCell="J9" activePane="bottomRight" state="frozenSplit"/>
      <selection pane="bottomRight" activeCell="I1" sqref="I1:J1"/>
      <selection pane="bottomLeft" activeCell="A3" sqref="A3"/>
      <selection pane="topRight" activeCell="D1" sqref="D1"/>
    </sheetView>
  </sheetViews>
  <sheetFormatPr defaultColWidth="9.28515625" defaultRowHeight="11.25"/>
  <cols>
    <col min="1" max="1" width="12.140625" style="7" customWidth="1"/>
    <col min="2" max="2" width="18" style="28" bestFit="1" customWidth="1"/>
    <col min="3" max="3" width="11.5703125" style="7" bestFit="1" customWidth="1"/>
    <col min="4" max="12" width="6.7109375" style="9" customWidth="1"/>
    <col min="13" max="13" width="6.140625" style="9" customWidth="1"/>
    <col min="14" max="18" width="6.7109375" style="9" customWidth="1"/>
    <col min="19" max="21" width="9.28515625" style="9" customWidth="1"/>
    <col min="22" max="16384" width="9.28515625" style="7"/>
  </cols>
  <sheetData>
    <row r="1" spans="1:24">
      <c r="B1" s="25" t="s">
        <v>0</v>
      </c>
      <c r="D1" s="8" t="s">
        <v>1</v>
      </c>
      <c r="I1" s="34"/>
      <c r="J1" s="9" t="s">
        <v>2</v>
      </c>
    </row>
    <row r="2" spans="1:24" ht="33.75">
      <c r="A2" s="7" t="s">
        <v>42</v>
      </c>
      <c r="B2" s="26" t="s">
        <v>4</v>
      </c>
      <c r="C2" s="10" t="s">
        <v>42</v>
      </c>
    </row>
    <row r="3" spans="1:24" s="11" customFormat="1">
      <c r="A3" s="11" t="s">
        <v>6</v>
      </c>
      <c r="B3" s="27" t="s">
        <v>7</v>
      </c>
      <c r="C3" s="11" t="s">
        <v>40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15</v>
      </c>
      <c r="K3" s="12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23</v>
      </c>
      <c r="S3" s="12" t="s">
        <v>24</v>
      </c>
      <c r="T3" s="12" t="s">
        <v>25</v>
      </c>
      <c r="U3" s="12" t="s">
        <v>26</v>
      </c>
      <c r="V3" s="11" t="s">
        <v>27</v>
      </c>
      <c r="W3" s="11" t="s">
        <v>28</v>
      </c>
      <c r="X3" s="11" t="s">
        <v>29</v>
      </c>
    </row>
    <row r="4" spans="1:24">
      <c r="A4" s="7" t="s">
        <v>30</v>
      </c>
      <c r="B4" s="28" t="s">
        <v>31</v>
      </c>
      <c r="C4" s="7" t="s">
        <v>32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 t="e">
        <f>AVERAGE(AVERAGE(D4:H4),AVERAGE(I4:M4),AVERAGE(N4:R4))</f>
        <v>#DIV/0!</v>
      </c>
      <c r="T4" s="9" t="e">
        <f>STDEV(AVERAGE(D4:H4),AVERAGE(I4:M4),AVERAGE(N4:R4))/SQRT(3)</f>
        <v>#DIV/0!</v>
      </c>
      <c r="U4" s="9">
        <f>COUNT(D4:R4)</f>
        <v>0</v>
      </c>
      <c r="V4" s="9">
        <f>SUM(D4:H4)</f>
        <v>0</v>
      </c>
      <c r="W4" s="9">
        <f>SUM(I4:M4)</f>
        <v>0</v>
      </c>
      <c r="X4" s="9">
        <f>SUM(N4:R4)</f>
        <v>0</v>
      </c>
    </row>
    <row r="5" spans="1:24">
      <c r="C5" s="7" t="s">
        <v>33</v>
      </c>
      <c r="D5" s="14">
        <v>8.9999999999999993E-3</v>
      </c>
      <c r="E5" s="14">
        <v>1.2E-2</v>
      </c>
      <c r="F5" s="14">
        <v>0.95899999999999996</v>
      </c>
      <c r="G5" s="14">
        <v>0.77500000000000002</v>
      </c>
      <c r="H5" s="14">
        <v>0.01</v>
      </c>
      <c r="I5" s="14">
        <v>7.0000000000000001E-3</v>
      </c>
      <c r="J5" s="14"/>
      <c r="K5" s="14"/>
      <c r="L5" s="14">
        <v>0.80900000000000005</v>
      </c>
      <c r="M5" s="14"/>
      <c r="N5" s="14">
        <v>4.0000000000000001E-3</v>
      </c>
      <c r="O5" s="14"/>
      <c r="P5" s="14"/>
      <c r="Q5" s="14">
        <v>0.20899999999999999</v>
      </c>
      <c r="R5" s="14">
        <v>2E-3</v>
      </c>
      <c r="S5" s="9">
        <f t="shared" ref="S5:S23" si="0">AVERAGE(AVERAGE(D5:H5),AVERAGE(I5:M5),AVERAGE(N5:R5))</f>
        <v>0.27755555555555556</v>
      </c>
      <c r="T5" s="9">
        <f t="shared" ref="T5:T23" si="1">STDEV(AVERAGE(D5:H5),AVERAGE(I5:M5),AVERAGE(N5:R5))/SQRT(3)</f>
        <v>0.10416161469230711</v>
      </c>
      <c r="U5" s="9">
        <f t="shared" ref="U5:U23" si="2">COUNT(D5:R5)</f>
        <v>10</v>
      </c>
      <c r="V5" s="9">
        <f t="shared" ref="V5:V23" si="3">SUM(D5:H5)</f>
        <v>1.7649999999999999</v>
      </c>
      <c r="W5" s="9">
        <f t="shared" ref="W5:W23" si="4">SUM(I5:M5)</f>
        <v>0.81600000000000006</v>
      </c>
      <c r="X5" s="9">
        <f t="shared" ref="X5:X23" si="5">SUM(N5:R5)</f>
        <v>0.215</v>
      </c>
    </row>
    <row r="6" spans="1:24">
      <c r="B6" s="28" t="s">
        <v>34</v>
      </c>
      <c r="C6" s="7" t="s">
        <v>32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9" t="e">
        <f t="shared" si="0"/>
        <v>#DIV/0!</v>
      </c>
      <c r="T6" s="9" t="e">
        <f t="shared" si="1"/>
        <v>#DIV/0!</v>
      </c>
      <c r="U6" s="9">
        <f t="shared" si="2"/>
        <v>0</v>
      </c>
      <c r="V6" s="9">
        <f t="shared" si="3"/>
        <v>0</v>
      </c>
      <c r="W6" s="9">
        <f t="shared" si="4"/>
        <v>0</v>
      </c>
      <c r="X6" s="9">
        <f t="shared" si="5"/>
        <v>0</v>
      </c>
    </row>
    <row r="7" spans="1:24">
      <c r="C7" s="7" t="s">
        <v>33</v>
      </c>
      <c r="D7" s="15"/>
      <c r="E7" s="15">
        <v>0.23300000000000001</v>
      </c>
      <c r="F7" s="15"/>
      <c r="G7" s="14"/>
      <c r="H7" s="15"/>
      <c r="I7" s="15">
        <v>0.10299999999999999</v>
      </c>
      <c r="J7" s="14">
        <v>0.372</v>
      </c>
      <c r="K7" s="15">
        <v>1.514</v>
      </c>
      <c r="L7" s="14"/>
      <c r="M7" s="15"/>
      <c r="N7" s="14"/>
      <c r="O7" s="15"/>
      <c r="P7" s="15"/>
      <c r="Q7" s="15">
        <v>0.124</v>
      </c>
      <c r="R7" s="15">
        <v>1.7000000000000001E-2</v>
      </c>
      <c r="S7" s="9">
        <f t="shared" si="0"/>
        <v>0.32216666666666666</v>
      </c>
      <c r="T7" s="9">
        <f t="shared" si="1"/>
        <v>0.17675508793557007</v>
      </c>
      <c r="U7" s="9">
        <f t="shared" si="2"/>
        <v>6</v>
      </c>
      <c r="V7" s="9">
        <f t="shared" si="3"/>
        <v>0.23300000000000001</v>
      </c>
      <c r="W7" s="9">
        <f t="shared" si="4"/>
        <v>1.9889999999999999</v>
      </c>
      <c r="X7" s="9">
        <f t="shared" si="5"/>
        <v>0.14100000000000001</v>
      </c>
    </row>
    <row r="8" spans="1:24">
      <c r="B8" s="28" t="s">
        <v>35</v>
      </c>
      <c r="C8" s="7" t="s">
        <v>32</v>
      </c>
      <c r="D8" s="15"/>
      <c r="E8" s="15"/>
      <c r="F8" s="15"/>
      <c r="G8" s="14"/>
      <c r="H8" s="15"/>
      <c r="I8" s="15"/>
      <c r="J8" s="14"/>
      <c r="K8" s="15"/>
      <c r="L8" s="14"/>
      <c r="M8" s="15"/>
      <c r="N8" s="14"/>
      <c r="O8" s="15"/>
      <c r="P8" s="15"/>
      <c r="Q8" s="15"/>
      <c r="R8" s="15"/>
      <c r="S8" s="9" t="e">
        <f t="shared" si="0"/>
        <v>#DIV/0!</v>
      </c>
      <c r="T8" s="9" t="e">
        <f t="shared" si="1"/>
        <v>#DIV/0!</v>
      </c>
      <c r="U8" s="9">
        <f t="shared" si="2"/>
        <v>0</v>
      </c>
      <c r="V8" s="9">
        <f t="shared" si="3"/>
        <v>0</v>
      </c>
      <c r="W8" s="9">
        <f t="shared" si="4"/>
        <v>0</v>
      </c>
      <c r="X8" s="9">
        <f t="shared" si="5"/>
        <v>0</v>
      </c>
    </row>
    <row r="9" spans="1:24">
      <c r="C9" s="7" t="s">
        <v>33</v>
      </c>
      <c r="D9" s="15">
        <v>0.222</v>
      </c>
      <c r="E9" s="15">
        <v>0.40300000000000002</v>
      </c>
      <c r="F9" s="15"/>
      <c r="G9" s="14">
        <v>2.3E-2</v>
      </c>
      <c r="H9" s="15">
        <v>5.7000000000000002E-2</v>
      </c>
      <c r="I9" s="15">
        <v>0.17199999999999999</v>
      </c>
      <c r="J9" s="14">
        <v>4.1000000000000002E-2</v>
      </c>
      <c r="K9" s="15">
        <v>7.8E-2</v>
      </c>
      <c r="L9" s="14"/>
      <c r="M9" s="15">
        <v>1.2E-2</v>
      </c>
      <c r="N9" s="14"/>
      <c r="O9" s="15"/>
      <c r="P9" s="15">
        <v>1.7000000000000001E-2</v>
      </c>
      <c r="Q9" s="15">
        <v>2.8000000000000001E-2</v>
      </c>
      <c r="R9" s="15"/>
      <c r="S9" s="9">
        <f t="shared" si="0"/>
        <v>9.1500000000000012E-2</v>
      </c>
      <c r="T9" s="9">
        <f t="shared" si="1"/>
        <v>4.5077017425734819E-2</v>
      </c>
      <c r="U9" s="9">
        <f t="shared" si="2"/>
        <v>10</v>
      </c>
      <c r="V9" s="9">
        <f t="shared" si="3"/>
        <v>0.70500000000000007</v>
      </c>
      <c r="W9" s="9">
        <f t="shared" si="4"/>
        <v>0.30299999999999999</v>
      </c>
      <c r="X9" s="9">
        <f t="shared" si="5"/>
        <v>4.4999999999999998E-2</v>
      </c>
    </row>
    <row r="10" spans="1:24">
      <c r="B10" s="28" t="s">
        <v>36</v>
      </c>
      <c r="C10" s="7" t="s">
        <v>32</v>
      </c>
      <c r="D10" s="14">
        <v>0.57799999999999996</v>
      </c>
      <c r="E10" s="14"/>
      <c r="F10" s="14">
        <v>0.22500000000000001</v>
      </c>
      <c r="G10" s="14"/>
      <c r="H10" s="14"/>
      <c r="I10" s="14">
        <v>0.17199999999999999</v>
      </c>
      <c r="J10" s="14"/>
      <c r="K10" s="14"/>
      <c r="L10" s="14"/>
      <c r="M10" s="14"/>
      <c r="N10" s="14"/>
      <c r="O10" s="14"/>
      <c r="P10" s="14"/>
      <c r="Q10" s="14"/>
      <c r="R10" s="14"/>
      <c r="S10" s="9" t="e">
        <f t="shared" si="0"/>
        <v>#DIV/0!</v>
      </c>
      <c r="T10" s="9" t="e">
        <f t="shared" si="1"/>
        <v>#DIV/0!</v>
      </c>
      <c r="U10" s="9">
        <f t="shared" si="2"/>
        <v>3</v>
      </c>
      <c r="V10" s="9">
        <f t="shared" si="3"/>
        <v>0.80299999999999994</v>
      </c>
      <c r="W10" s="9">
        <f t="shared" si="4"/>
        <v>0.17199999999999999</v>
      </c>
      <c r="X10" s="9">
        <f t="shared" si="5"/>
        <v>0</v>
      </c>
    </row>
    <row r="11" spans="1:24">
      <c r="C11" s="7" t="s">
        <v>33</v>
      </c>
      <c r="D11" s="14">
        <v>2.0369999999999999</v>
      </c>
      <c r="E11" s="14">
        <v>1.304</v>
      </c>
      <c r="F11" s="14">
        <v>0.78300000000000003</v>
      </c>
      <c r="G11" s="14">
        <v>0.754</v>
      </c>
      <c r="H11" s="14">
        <v>1.98</v>
      </c>
      <c r="I11" s="14">
        <v>0.95299999999999996</v>
      </c>
      <c r="J11" s="14">
        <v>0.85799999999999998</v>
      </c>
      <c r="K11" s="14">
        <v>1.2949999999999999</v>
      </c>
      <c r="L11" s="14">
        <v>0.218</v>
      </c>
      <c r="M11" s="14">
        <v>0.94699999999999995</v>
      </c>
      <c r="N11" s="14">
        <v>0.29399999999999998</v>
      </c>
      <c r="O11" s="14">
        <v>0.97099999999999997</v>
      </c>
      <c r="P11" s="14">
        <v>0.59499999999999997</v>
      </c>
      <c r="Q11" s="14">
        <v>2.181</v>
      </c>
      <c r="R11" s="14">
        <v>2.7040000000000002</v>
      </c>
      <c r="S11" s="9">
        <f t="shared" si="0"/>
        <v>1.1916</v>
      </c>
      <c r="T11" s="9">
        <f t="shared" si="1"/>
        <v>0.16882610382678773</v>
      </c>
      <c r="U11" s="9">
        <f t="shared" si="2"/>
        <v>15</v>
      </c>
      <c r="V11" s="9">
        <f t="shared" si="3"/>
        <v>6.8580000000000005</v>
      </c>
      <c r="W11" s="9">
        <f t="shared" si="4"/>
        <v>4.2709999999999999</v>
      </c>
      <c r="X11" s="9">
        <f t="shared" si="5"/>
        <v>6.745000000000001</v>
      </c>
    </row>
    <row r="12" spans="1:24">
      <c r="A12" s="7" t="s">
        <v>37</v>
      </c>
      <c r="B12" s="28" t="s">
        <v>31</v>
      </c>
      <c r="C12" s="7" t="s">
        <v>32</v>
      </c>
      <c r="D12" s="14"/>
      <c r="E12" s="14"/>
      <c r="F12" s="3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9" t="e">
        <f t="shared" si="0"/>
        <v>#DIV/0!</v>
      </c>
      <c r="T12" s="9" t="e">
        <f t="shared" si="1"/>
        <v>#DIV/0!</v>
      </c>
      <c r="U12" s="9">
        <f t="shared" si="2"/>
        <v>0</v>
      </c>
      <c r="V12" s="9">
        <f t="shared" si="3"/>
        <v>0</v>
      </c>
      <c r="W12" s="9">
        <f t="shared" si="4"/>
        <v>0</v>
      </c>
      <c r="X12" s="9">
        <f t="shared" si="5"/>
        <v>0</v>
      </c>
    </row>
    <row r="13" spans="1:24">
      <c r="C13" s="7" t="s">
        <v>33</v>
      </c>
      <c r="D13" s="14"/>
      <c r="E13" s="14">
        <v>1.4E-2</v>
      </c>
      <c r="F13" s="32"/>
      <c r="G13" s="14">
        <v>6.0999999999999999E-2</v>
      </c>
      <c r="H13" s="14">
        <v>1.2E-2</v>
      </c>
      <c r="I13" s="14"/>
      <c r="J13" s="15"/>
      <c r="K13" s="15">
        <v>4.7E-2</v>
      </c>
      <c r="L13" s="14">
        <v>0.379</v>
      </c>
      <c r="M13" s="14">
        <v>1.4E-2</v>
      </c>
      <c r="N13" s="14">
        <v>1.0999999999999999E-2</v>
      </c>
      <c r="O13" s="14"/>
      <c r="P13" s="14"/>
      <c r="Q13" s="14">
        <v>2.7E-2</v>
      </c>
      <c r="R13" s="14"/>
      <c r="S13" s="9">
        <f t="shared" si="0"/>
        <v>6.4888888888888885E-2</v>
      </c>
      <c r="T13" s="9">
        <f t="shared" si="1"/>
        <v>4.0990664399363365E-2</v>
      </c>
      <c r="U13" s="9">
        <f t="shared" si="2"/>
        <v>8</v>
      </c>
      <c r="V13" s="9">
        <f t="shared" si="3"/>
        <v>8.6999999999999994E-2</v>
      </c>
      <c r="W13" s="9">
        <f t="shared" si="4"/>
        <v>0.44</v>
      </c>
      <c r="X13" s="9">
        <f t="shared" si="5"/>
        <v>3.7999999999999999E-2</v>
      </c>
    </row>
    <row r="14" spans="1:24">
      <c r="B14" s="28" t="s">
        <v>34</v>
      </c>
      <c r="C14" s="7" t="s">
        <v>32</v>
      </c>
      <c r="D14" s="14"/>
      <c r="E14" s="14"/>
      <c r="F14" s="32"/>
      <c r="G14" s="14"/>
      <c r="H14" s="14"/>
      <c r="I14" s="14"/>
      <c r="J14" s="14"/>
      <c r="K14" s="15"/>
      <c r="L14" s="14"/>
      <c r="M14" s="14"/>
      <c r="N14" s="14"/>
      <c r="O14" s="14"/>
      <c r="P14" s="14"/>
      <c r="Q14" s="14"/>
      <c r="R14" s="14"/>
      <c r="S14" s="9" t="e">
        <f t="shared" si="0"/>
        <v>#DIV/0!</v>
      </c>
      <c r="T14" s="9" t="e">
        <f t="shared" si="1"/>
        <v>#DIV/0!</v>
      </c>
      <c r="U14" s="9">
        <f t="shared" si="2"/>
        <v>0</v>
      </c>
      <c r="V14" s="9">
        <f t="shared" si="3"/>
        <v>0</v>
      </c>
      <c r="W14" s="9">
        <f t="shared" si="4"/>
        <v>0</v>
      </c>
      <c r="X14" s="9">
        <f t="shared" si="5"/>
        <v>0</v>
      </c>
    </row>
    <row r="15" spans="1:24">
      <c r="C15" s="7" t="s">
        <v>33</v>
      </c>
      <c r="D15" s="14">
        <v>6.4000000000000001E-2</v>
      </c>
      <c r="E15" s="14"/>
      <c r="F15" s="32"/>
      <c r="G15" s="14"/>
      <c r="H15" s="14"/>
      <c r="I15" s="14"/>
      <c r="J15" s="14">
        <v>0.224</v>
      </c>
      <c r="K15" s="14"/>
      <c r="L15" s="14"/>
      <c r="M15" s="14"/>
      <c r="N15" s="14"/>
      <c r="O15" s="14">
        <v>6.0000000000000001E-3</v>
      </c>
      <c r="P15" s="14"/>
      <c r="Q15" s="14">
        <v>9.9000000000000005E-2</v>
      </c>
      <c r="R15" s="14"/>
      <c r="S15" s="9">
        <f t="shared" si="0"/>
        <v>0.1135</v>
      </c>
      <c r="T15" s="9">
        <f t="shared" si="1"/>
        <v>5.5349646189775545E-2</v>
      </c>
      <c r="U15" s="9">
        <f t="shared" si="2"/>
        <v>4</v>
      </c>
      <c r="V15" s="9">
        <f t="shared" si="3"/>
        <v>6.4000000000000001E-2</v>
      </c>
      <c r="W15" s="9">
        <f t="shared" si="4"/>
        <v>0.224</v>
      </c>
      <c r="X15" s="9">
        <f t="shared" si="5"/>
        <v>0.10500000000000001</v>
      </c>
    </row>
    <row r="16" spans="1:24">
      <c r="B16" s="28" t="s">
        <v>36</v>
      </c>
      <c r="C16" s="7" t="s">
        <v>32</v>
      </c>
      <c r="D16" s="14"/>
      <c r="E16" s="14"/>
      <c r="F16" s="3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9" t="e">
        <f t="shared" si="0"/>
        <v>#DIV/0!</v>
      </c>
      <c r="T16" s="9" t="e">
        <f t="shared" si="1"/>
        <v>#DIV/0!</v>
      </c>
      <c r="U16" s="9">
        <f t="shared" si="2"/>
        <v>0</v>
      </c>
      <c r="V16" s="9">
        <f t="shared" si="3"/>
        <v>0</v>
      </c>
      <c r="W16" s="9">
        <f t="shared" si="4"/>
        <v>0</v>
      </c>
      <c r="X16" s="9">
        <f t="shared" si="5"/>
        <v>0</v>
      </c>
    </row>
    <row r="17" spans="1:24">
      <c r="C17" s="7" t="s">
        <v>33</v>
      </c>
      <c r="D17" s="14">
        <v>0.252</v>
      </c>
      <c r="E17" s="14">
        <v>6.3E-2</v>
      </c>
      <c r="F17" s="32"/>
      <c r="G17" s="14">
        <v>0.15</v>
      </c>
      <c r="H17" s="14">
        <v>0.13900000000000001</v>
      </c>
      <c r="I17" s="14">
        <v>2.1739999999999999</v>
      </c>
      <c r="J17" s="14">
        <v>0.94299999999999995</v>
      </c>
      <c r="K17" s="14">
        <v>0.82699999999999996</v>
      </c>
      <c r="L17" s="14">
        <v>1.1539999999999999</v>
      </c>
      <c r="M17" s="14">
        <v>3.6999999999999998E-2</v>
      </c>
      <c r="N17" s="14">
        <v>0.28100000000000003</v>
      </c>
      <c r="O17" s="14">
        <v>0.32200000000000001</v>
      </c>
      <c r="P17" s="14">
        <v>0.32800000000000001</v>
      </c>
      <c r="Q17" s="14">
        <v>1.3779999999999999</v>
      </c>
      <c r="R17" s="14">
        <v>0.25700000000000001</v>
      </c>
      <c r="S17" s="9">
        <f t="shared" si="0"/>
        <v>0.56373333333333331</v>
      </c>
      <c r="T17" s="9">
        <f t="shared" si="1"/>
        <v>0.25413855363648474</v>
      </c>
      <c r="U17" s="9">
        <f t="shared" si="2"/>
        <v>14</v>
      </c>
      <c r="V17" s="9">
        <f t="shared" si="3"/>
        <v>0.60399999999999998</v>
      </c>
      <c r="W17" s="9">
        <f t="shared" si="4"/>
        <v>5.1349999999999998</v>
      </c>
      <c r="X17" s="9">
        <f t="shared" si="5"/>
        <v>2.5660000000000003</v>
      </c>
    </row>
    <row r="18" spans="1:24">
      <c r="A18" s="7" t="s">
        <v>38</v>
      </c>
      <c r="B18" s="28" t="s">
        <v>31</v>
      </c>
      <c r="C18" s="7" t="s">
        <v>32</v>
      </c>
      <c r="D18" s="14"/>
      <c r="E18" s="14"/>
      <c r="F18" s="14"/>
      <c r="G18" s="14"/>
      <c r="H18" s="14"/>
      <c r="I18" s="14"/>
      <c r="J18" s="32"/>
      <c r="K18" s="32"/>
      <c r="L18" s="32"/>
      <c r="M18" s="14"/>
      <c r="N18" s="14"/>
      <c r="O18" s="14"/>
      <c r="P18" s="14"/>
      <c r="Q18" s="14"/>
      <c r="R18" s="14"/>
      <c r="S18" s="9" t="e">
        <f t="shared" si="0"/>
        <v>#DIV/0!</v>
      </c>
      <c r="T18" s="9" t="e">
        <f t="shared" si="1"/>
        <v>#DIV/0!</v>
      </c>
      <c r="U18" s="9">
        <f t="shared" si="2"/>
        <v>0</v>
      </c>
      <c r="V18" s="9">
        <f t="shared" si="3"/>
        <v>0</v>
      </c>
      <c r="W18" s="9">
        <f t="shared" si="4"/>
        <v>0</v>
      </c>
      <c r="X18" s="9">
        <f t="shared" si="5"/>
        <v>0</v>
      </c>
    </row>
    <row r="19" spans="1:24">
      <c r="C19" s="7" t="s">
        <v>33</v>
      </c>
      <c r="D19" s="14">
        <v>7.0000000000000001E-3</v>
      </c>
      <c r="E19" s="14">
        <v>3.5999999999999997E-2</v>
      </c>
      <c r="F19" s="14">
        <v>0.11600000000000001</v>
      </c>
      <c r="G19" s="14">
        <v>9.6000000000000002E-2</v>
      </c>
      <c r="H19" s="14">
        <v>5.2999999999999999E-2</v>
      </c>
      <c r="I19" s="14">
        <v>4.4999999999999998E-2</v>
      </c>
      <c r="J19" s="32"/>
      <c r="K19" s="32"/>
      <c r="L19" s="32"/>
      <c r="M19" s="14"/>
      <c r="N19" s="14"/>
      <c r="O19" s="14">
        <v>8.9999999999999993E-3</v>
      </c>
      <c r="P19" s="14">
        <v>1.4999999999999999E-2</v>
      </c>
      <c r="Q19" s="14"/>
      <c r="R19" s="14">
        <v>4.0000000000000001E-3</v>
      </c>
      <c r="S19" s="9">
        <f t="shared" si="0"/>
        <v>3.8644444444444447E-2</v>
      </c>
      <c r="T19" s="9">
        <f t="shared" si="1"/>
        <v>1.5419099908078571E-2</v>
      </c>
      <c r="U19" s="9">
        <f t="shared" si="2"/>
        <v>9</v>
      </c>
      <c r="V19" s="9">
        <f t="shared" si="3"/>
        <v>0.308</v>
      </c>
      <c r="W19" s="9">
        <f t="shared" si="4"/>
        <v>4.4999999999999998E-2</v>
      </c>
      <c r="X19" s="9">
        <f t="shared" si="5"/>
        <v>2.8000000000000001E-2</v>
      </c>
    </row>
    <row r="20" spans="1:24" s="16" customFormat="1">
      <c r="A20" s="7"/>
      <c r="B20" s="28" t="s">
        <v>34</v>
      </c>
      <c r="C20" s="7" t="s">
        <v>32</v>
      </c>
      <c r="D20" s="14"/>
      <c r="E20" s="14"/>
      <c r="F20" s="14"/>
      <c r="G20" s="14"/>
      <c r="H20" s="14"/>
      <c r="I20" s="14"/>
      <c r="J20" s="32"/>
      <c r="K20" s="32"/>
      <c r="L20" s="32"/>
      <c r="M20" s="14"/>
      <c r="N20" s="14"/>
      <c r="O20" s="14"/>
      <c r="P20" s="14"/>
      <c r="Q20" s="14"/>
      <c r="R20" s="14"/>
      <c r="S20" s="9" t="e">
        <f t="shared" si="0"/>
        <v>#DIV/0!</v>
      </c>
      <c r="T20" s="9" t="e">
        <f t="shared" si="1"/>
        <v>#DIV/0!</v>
      </c>
      <c r="U20" s="9">
        <f t="shared" si="2"/>
        <v>0</v>
      </c>
      <c r="V20" s="9">
        <f t="shared" si="3"/>
        <v>0</v>
      </c>
      <c r="W20" s="9">
        <f t="shared" si="4"/>
        <v>0</v>
      </c>
      <c r="X20" s="9">
        <f t="shared" si="5"/>
        <v>0</v>
      </c>
    </row>
    <row r="21" spans="1:24">
      <c r="C21" s="7" t="s">
        <v>33</v>
      </c>
      <c r="D21" s="14"/>
      <c r="E21" s="14"/>
      <c r="F21" s="14"/>
      <c r="G21" s="14"/>
      <c r="H21" s="14">
        <v>0.29699999999999999</v>
      </c>
      <c r="I21" s="14"/>
      <c r="J21" s="32"/>
      <c r="K21" s="32"/>
      <c r="L21" s="32"/>
      <c r="M21" s="14"/>
      <c r="N21" s="14"/>
      <c r="O21" s="14"/>
      <c r="P21" s="14"/>
      <c r="Q21" s="14"/>
      <c r="R21" s="14"/>
      <c r="S21" s="9" t="e">
        <f t="shared" si="0"/>
        <v>#DIV/0!</v>
      </c>
      <c r="T21" s="9" t="e">
        <f t="shared" si="1"/>
        <v>#DIV/0!</v>
      </c>
      <c r="U21" s="9">
        <f t="shared" si="2"/>
        <v>1</v>
      </c>
      <c r="V21" s="9">
        <f t="shared" si="3"/>
        <v>0.29699999999999999</v>
      </c>
      <c r="W21" s="9">
        <f t="shared" si="4"/>
        <v>0</v>
      </c>
      <c r="X21" s="9">
        <f t="shared" si="5"/>
        <v>0</v>
      </c>
    </row>
    <row r="22" spans="1:24">
      <c r="B22" s="28" t="s">
        <v>36</v>
      </c>
      <c r="C22" s="7" t="s">
        <v>32</v>
      </c>
      <c r="D22" s="14"/>
      <c r="E22" s="14"/>
      <c r="F22" s="14"/>
      <c r="G22" s="14"/>
      <c r="H22" s="14"/>
      <c r="I22" s="14"/>
      <c r="J22" s="32"/>
      <c r="K22" s="32"/>
      <c r="L22" s="32"/>
      <c r="M22" s="14"/>
      <c r="N22" s="14"/>
      <c r="O22" s="14"/>
      <c r="P22" s="14"/>
      <c r="Q22" s="14"/>
      <c r="R22" s="14"/>
      <c r="S22" s="9" t="e">
        <f t="shared" si="0"/>
        <v>#DIV/0!</v>
      </c>
      <c r="T22" s="9" t="e">
        <f t="shared" si="1"/>
        <v>#DIV/0!</v>
      </c>
      <c r="U22" s="9">
        <f t="shared" si="2"/>
        <v>0</v>
      </c>
      <c r="V22" s="9">
        <f t="shared" si="3"/>
        <v>0</v>
      </c>
      <c r="W22" s="9">
        <f t="shared" si="4"/>
        <v>0</v>
      </c>
      <c r="X22" s="9">
        <f t="shared" si="5"/>
        <v>0</v>
      </c>
    </row>
    <row r="23" spans="1:24">
      <c r="C23" s="7" t="s">
        <v>33</v>
      </c>
      <c r="D23" s="14">
        <v>0.72899999999999998</v>
      </c>
      <c r="E23" s="14">
        <v>0.68700000000000006</v>
      </c>
      <c r="F23" s="14">
        <v>5.8999999999999997E-2</v>
      </c>
      <c r="G23" s="14">
        <v>0.10299999999999999</v>
      </c>
      <c r="H23" s="14">
        <v>0.28000000000000003</v>
      </c>
      <c r="I23" s="14">
        <v>1.4330000000000001</v>
      </c>
      <c r="J23" s="32"/>
      <c r="K23" s="32"/>
      <c r="L23" s="32"/>
      <c r="M23" s="14">
        <v>6.6000000000000003E-2</v>
      </c>
      <c r="N23" s="14">
        <v>0.11</v>
      </c>
      <c r="O23" s="14">
        <v>0.1</v>
      </c>
      <c r="P23" s="14">
        <v>7.9000000000000001E-2</v>
      </c>
      <c r="Q23" s="14">
        <v>0.13500000000000001</v>
      </c>
      <c r="R23" s="14">
        <v>4.4999999999999998E-2</v>
      </c>
      <c r="S23" s="9">
        <f t="shared" si="0"/>
        <v>0.4049666666666667</v>
      </c>
      <c r="T23" s="9">
        <f t="shared" si="1"/>
        <v>0.19001808978211637</v>
      </c>
      <c r="U23" s="9">
        <f t="shared" si="2"/>
        <v>12</v>
      </c>
      <c r="V23" s="9">
        <f t="shared" si="3"/>
        <v>1.8579999999999999</v>
      </c>
      <c r="W23" s="9">
        <f t="shared" si="4"/>
        <v>1.4990000000000001</v>
      </c>
      <c r="X23" s="9">
        <f t="shared" si="5"/>
        <v>0.46900000000000003</v>
      </c>
    </row>
  </sheetData>
  <printOptions gridLines="1" gridLinesSet="0"/>
  <pageMargins left="0.35" right="0.75" top="0.62" bottom="0.63" header="0.5" footer="0.5"/>
  <pageSetup scale="70" orientation="landscape" horizontalDpi="30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D3" sqref="D3"/>
    </sheetView>
  </sheetViews>
  <sheetFormatPr defaultRowHeight="12.75"/>
  <cols>
    <col min="1" max="1" width="7" style="6" bestFit="1" customWidth="1"/>
    <col min="2" max="2" width="30.7109375" style="2" bestFit="1" customWidth="1"/>
    <col min="3" max="3" width="8.28515625" style="4" bestFit="1" customWidth="1"/>
    <col min="4" max="16384" width="9.140625" style="2"/>
  </cols>
  <sheetData>
    <row r="1" spans="1:3">
      <c r="A1" s="5" t="s">
        <v>43</v>
      </c>
      <c r="B1" s="1" t="s">
        <v>44</v>
      </c>
      <c r="C1" s="3" t="s">
        <v>45</v>
      </c>
    </row>
  </sheetData>
  <phoneticPr fontId="0" type="noConversion"/>
  <pageMargins left="0.75" right="0.75" top="1" bottom="1" header="0.5" footer="0.5"/>
  <pageSetup orientation="landscape" horizontalDpi="4294967292" verticalDpi="0" r:id="rId1"/>
  <headerFooter alignWithMargins="0">
    <oddFooter>&amp;L&amp;A, &amp;F&amp;C&amp;P&amp;R&amp;D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Alabama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Gough</dc:creator>
  <cp:keywords/>
  <dc:description/>
  <cp:lastModifiedBy>Gough, Laura</cp:lastModifiedBy>
  <cp:revision/>
  <dcterms:created xsi:type="dcterms:W3CDTF">2000-07-31T00:57:18Z</dcterms:created>
  <dcterms:modified xsi:type="dcterms:W3CDTF">2023-10-05T17:50:37Z</dcterms:modified>
  <cp:category/>
  <cp:contentStatus/>
</cp:coreProperties>
</file>